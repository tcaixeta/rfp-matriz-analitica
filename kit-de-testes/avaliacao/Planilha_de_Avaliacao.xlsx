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Armadilhas" sheetId="2" state="visible" r:id="rId2"/>
    <sheet xmlns:r="http://schemas.openxmlformats.org/officeDocument/2006/relationships" name="Resultado" sheetId="3" state="visible" r:id="rId3"/>
  </sheets>
  <definedNames>
    <definedName name="_xlnm._FilterDatabase" localSheetId="0" hidden="1">'Avaliação'!$A$1:$Q$69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8" customWidth="1" min="3" max="3"/>
    <col width="30" customWidth="1" min="4" max="4"/>
    <col width="26" customWidth="1" min="5" max="5"/>
    <col width="22" customWidth="1" min="6" max="6"/>
    <col width="18" customWidth="1" min="7" max="7"/>
    <col width="30" customWidth="1" min="8" max="8"/>
    <col width="26" customWidth="1" min="9" max="9"/>
    <col width="24" customWidth="1" min="10" max="10"/>
    <col width="50" customWidth="1" min="11" max="11"/>
    <col width="14" customWidth="1" min="12" max="12"/>
    <col width="18" customWidth="1" min="13" max="13"/>
    <col width="14" customWidth="1" min="14" max="14"/>
    <col width="12" customWidth="1" min="15" max="15"/>
    <col width="14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★</t>
        </is>
      </c>
      <c r="C1" s="1" t="inlineStr">
        <is>
          <t>Documento</t>
        </is>
      </c>
      <c r="D1" s="1" t="inlineStr">
        <is>
          <t>Localizador esperado</t>
        </is>
      </c>
      <c r="E1" s="1" t="inlineStr">
        <is>
          <t>Tipo esperado</t>
        </is>
      </c>
      <c r="F1" s="1" t="inlineStr">
        <is>
          <t>Domínio</t>
        </is>
      </c>
      <c r="G1" s="1" t="inlineStr">
        <is>
          <t>Criticidade esperada</t>
        </is>
      </c>
      <c r="H1" s="1" t="inlineStr">
        <is>
          <t>Referência esperada</t>
        </is>
      </c>
      <c r="I1" s="1" t="inlineStr">
        <is>
          <t>Relações / Status</t>
        </is>
      </c>
      <c r="J1" s="1" t="inlineStr">
        <is>
          <t>O que testa</t>
        </is>
      </c>
      <c r="K1" s="1" t="inlineStr">
        <is>
          <t>Descrição</t>
        </is>
      </c>
      <c r="L1" s="1" t="inlineStr">
        <is>
          <t>Encontrado? (S/N/Parcial)</t>
        </is>
      </c>
      <c r="M1" s="1" t="inlineStr">
        <is>
          <t>ID(s) atribuído(s) pela persona</t>
        </is>
      </c>
      <c r="N1" s="1" t="inlineStr">
        <is>
          <t>Localizador correto? (S/N)</t>
        </is>
      </c>
      <c r="O1" s="1" t="inlineStr">
        <is>
          <t>Tipo coerente? (S/N)</t>
        </is>
      </c>
      <c r="P1" s="1" t="inlineStr">
        <is>
          <t>Criticidade na faixa? (S/N)</t>
        </is>
      </c>
      <c r="Q1" s="1" t="inlineStr">
        <is>
          <t>Observações</t>
        </is>
      </c>
    </row>
    <row r="2">
      <c r="A2" s="2" t="inlineStr">
        <is>
          <t>G01</t>
        </is>
      </c>
      <c r="B2" s="2" t="inlineStr">
        <is>
          <t>★</t>
        </is>
      </c>
      <c r="C2" s="2" t="inlineStr">
        <is>
          <t>RFP (PDF)</t>
        </is>
      </c>
      <c r="D2" s="2" t="inlineStr">
        <is>
          <t>p. 2 (impressa: 1) · §1.2</t>
        </is>
      </c>
      <c r="E2" s="2" t="inlineStr">
        <is>
          <t>Registro de cobertura (regime)</t>
        </is>
      </c>
      <c r="F2" s="2" t="inlineStr">
        <is>
          <t>Regulatório/Compliance</t>
        </is>
      </c>
      <c r="G2" s="2" t="inlineStr">
        <is>
          <t>—</t>
        </is>
      </c>
      <c r="H2" s="2" t="inlineStr">
        <is>
          <t>Res. CMN 4.893/2021</t>
        </is>
      </c>
      <c r="I2" s="2" t="inlineStr">
        <is>
          <t>—</t>
        </is>
      </c>
      <c r="J2" s="2" t="inlineStr">
        <is>
          <t>Detecção de regime</t>
        </is>
      </c>
      <c r="K2" s="2" t="inlineStr">
        <is>
          <t>Regime privado, setor financeiro regulado pelo BACEN, sujeito à Res. CMN 4.893/2021. Não é contratação pública.</t>
        </is>
      </c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G02</t>
        </is>
      </c>
      <c r="B3" s="2" t="inlineStr">
        <is>
          <t>★</t>
        </is>
      </c>
      <c r="C3" s="2" t="inlineStr">
        <is>
          <t>Todos</t>
        </is>
      </c>
      <c r="D3" s="2" t="inlineStr">
        <is>
          <t>Não localizado</t>
        </is>
      </c>
      <c r="E3" s="2" t="inlineStr">
        <is>
          <t>Lacuna</t>
        </is>
      </c>
      <c r="F3" s="2" t="inlineStr">
        <is>
          <t>Jurídico/Contratual</t>
        </is>
      </c>
      <c r="G3" s="2" t="inlineStr">
        <is>
          <t>Alta–Crítica</t>
        </is>
      </c>
      <c r="H3" s="2" t="inlineStr">
        <is>
          <t>Livre (ou Não aplicável)</t>
        </is>
      </c>
      <c r="I3" s="2" t="inlineStr">
        <is>
          <t>Relaciona-se a G30, G60, G65</t>
        </is>
      </c>
      <c r="J3" s="2" t="inlineStr">
        <is>
          <t>Precedência não presumida</t>
        </is>
      </c>
      <c r="K3" s="2" t="inlineStr">
        <is>
          <t>Nenhum documento define a ordem de precedência entre RFP, anexos e Q&amp;A.</t>
        </is>
      </c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G03</t>
        </is>
      </c>
      <c r="B4" s="2" t="inlineStr"/>
      <c r="C4" s="2" t="inlineStr">
        <is>
          <t>RFP (PDF)</t>
        </is>
      </c>
      <c r="D4" s="2" t="inlineStr">
        <is>
          <t>p. 2 (impressa: 1) · §2.1</t>
        </is>
      </c>
      <c r="E4" s="2" t="inlineStr">
        <is>
          <t>Requisito funcional / de serviço</t>
        </is>
      </c>
      <c r="F4" s="2" t="inlineStr">
        <is>
          <t>Operação/Serviços</t>
        </is>
      </c>
      <c r="G4" s="2" t="inlineStr">
        <is>
          <t>Média–Alta</t>
        </is>
      </c>
      <c r="H4" s="2" t="inlineStr">
        <is>
          <t>ISO/IEC 27001:2022 A.8.16 · NIST CSF 2.0 DE.CM</t>
        </is>
      </c>
      <c r="I4" s="2" t="inlineStr">
        <is>
          <t>—</t>
        </is>
      </c>
      <c r="J4" s="2" t="inlineStr">
        <is>
          <t>Objeto</t>
        </is>
      </c>
      <c r="K4" s="2" t="inlineStr">
        <is>
          <t>SOC 24x7x365 e IAM.</t>
        </is>
      </c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G04</t>
        </is>
      </c>
      <c r="B5" s="2" t="inlineStr"/>
      <c r="C5" s="2" t="inlineStr">
        <is>
          <t>RFP (PDF)</t>
        </is>
      </c>
      <c r="D5" s="2" t="inlineStr">
        <is>
          <t>p. 2 (impressa: 1) · §2.1</t>
        </is>
      </c>
      <c r="E5" s="2" t="inlineStr">
        <is>
          <t>Dado de dimensionamento</t>
        </is>
      </c>
      <c r="F5" s="2" t="inlineStr">
        <is>
          <t>Comercial/Preço</t>
        </is>
      </c>
      <c r="G5" s="2" t="inlineStr">
        <is>
          <t>Média–Alta</t>
        </is>
      </c>
      <c r="H5" s="2" t="inlineStr">
        <is>
          <t>Livre (ou Não aplicável)</t>
        </is>
      </c>
      <c r="I5" s="2" t="inlineStr">
        <is>
          <t>Parte de G30</t>
        </is>
      </c>
      <c r="J5" s="2" t="inlineStr">
        <is>
          <t>Volumetria</t>
        </is>
      </c>
      <c r="K5" s="2" t="inlineStr">
        <is>
          <t>Aproximadamente 4.500 colaboradores.</t>
        </is>
      </c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G05</t>
        </is>
      </c>
      <c r="B6" s="2" t="inlineStr"/>
      <c r="C6" s="2" t="inlineStr">
        <is>
          <t>RFP (PDF)</t>
        </is>
      </c>
      <c r="D6" s="2" t="inlineStr">
        <is>
          <t>p. 2 (impressa: 1) · §3.1 (tabela)</t>
        </is>
      </c>
      <c r="E6" s="2" t="inlineStr">
        <is>
          <t>Prazo / marco</t>
        </is>
      </c>
      <c r="F6" s="2" t="inlineStr">
        <is>
          <t>Administrativo do processo</t>
        </is>
      </c>
      <c r="G6" s="2" t="inlineStr">
        <is>
          <t>Média–Alta</t>
        </is>
      </c>
      <c r="H6" s="2" t="inlineStr">
        <is>
          <t>Livre (ou Não aplicável)</t>
        </is>
      </c>
      <c r="I6" s="2" t="inlineStr">
        <is>
          <t>—</t>
        </is>
      </c>
      <c r="J6" s="2" t="inlineStr">
        <is>
          <t>Prazos do processo</t>
        </is>
      </c>
      <c r="K6" s="2" t="inlineStr">
        <is>
          <t>Prazo final para envio de perguntas: 05/11/2026.</t>
        </is>
      </c>
      <c r="L6" s="3" t="inlineStr"/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G06</t>
        </is>
      </c>
      <c r="B7" s="2" t="inlineStr">
        <is>
          <t>★</t>
        </is>
      </c>
      <c r="C7" s="2" t="inlineStr">
        <is>
          <t>RFP (PDF)</t>
        </is>
      </c>
      <c r="D7" s="2" t="inlineStr">
        <is>
          <t>p. 2 (impressa: 1) · §3.1 (tabela)</t>
        </is>
      </c>
      <c r="E7" s="2" t="inlineStr">
        <is>
          <t>Prazo / marco</t>
        </is>
      </c>
      <c r="F7" s="2" t="inlineStr">
        <is>
          <t>Administrativo do processo</t>
        </is>
      </c>
      <c r="G7" s="2" t="inlineStr">
        <is>
          <t>Alta–Crítica</t>
        </is>
      </c>
      <c r="H7" s="2" t="inlineStr">
        <is>
          <t>Livre (ou Não aplicável)</t>
        </is>
      </c>
      <c r="I7" s="2" t="inlineStr">
        <is>
          <t>Status: Alterado por G60</t>
        </is>
      </c>
      <c r="J7" s="2" t="inlineStr">
        <is>
          <t>Alteração por Q&amp;A</t>
        </is>
      </c>
      <c r="K7" s="2" t="inlineStr">
        <is>
          <t>Entrega das propostas: 20/11/2026, 18h.</t>
        </is>
      </c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G07</t>
        </is>
      </c>
      <c r="B8" s="2" t="inlineStr"/>
      <c r="C8" s="2" t="inlineStr">
        <is>
          <t>RFP (PDF)</t>
        </is>
      </c>
      <c r="D8" s="2" t="inlineStr">
        <is>
          <t>p. 2 (impressa: 1) · §3.1 (tabela)</t>
        </is>
      </c>
      <c r="E8" s="2" t="inlineStr">
        <is>
          <t>Prazo / marco</t>
        </is>
      </c>
      <c r="F8" s="2" t="inlineStr">
        <is>
          <t>Transição/Implantação</t>
        </is>
      </c>
      <c r="G8" s="2" t="inlineStr">
        <is>
          <t>Média–Alta</t>
        </is>
      </c>
      <c r="H8" s="2" t="inlineStr">
        <is>
          <t>Livre (ou Não aplicável)</t>
        </is>
      </c>
      <c r="I8" s="2" t="inlineStr">
        <is>
          <t>Relaciona-se a G53</t>
        </is>
      </c>
      <c r="J8" s="2" t="inlineStr">
        <is>
          <t>Prazos do projeto</t>
        </is>
      </c>
      <c r="K8" s="2" t="inlineStr">
        <is>
          <t>Início previsto dos serviços: 01/02/2027.</t>
        </is>
      </c>
      <c r="L8" s="3" t="inlineStr"/>
      <c r="M8" s="3" t="inlineStr"/>
      <c r="N8" s="3" t="inlineStr"/>
      <c r="O8" s="3" t="inlineStr"/>
      <c r="P8" s="3" t="inlineStr"/>
      <c r="Q8" s="3" t="inlineStr"/>
    </row>
    <row r="9">
      <c r="A9" s="2" t="inlineStr">
        <is>
          <t>G08</t>
        </is>
      </c>
      <c r="B9" s="2" t="inlineStr">
        <is>
          <t>★</t>
        </is>
      </c>
      <c r="C9" s="2" t="inlineStr">
        <is>
          <t>RFP (PDF) × Anexo I (Word)</t>
        </is>
      </c>
      <c r="D9" s="2" t="inlineStr">
        <is>
          <t>RFP p. 2 (impressa: 1) §3.2 × Anexo I §4.1</t>
        </is>
      </c>
      <c r="E9" s="2" t="inlineStr">
        <is>
          <t>Contradição</t>
        </is>
      </c>
      <c r="F9" s="2" t="inlineStr">
        <is>
          <t>Transição/Implantação</t>
        </is>
      </c>
      <c r="G9" s="2" t="inlineStr">
        <is>
          <t>Alta</t>
        </is>
      </c>
      <c r="H9" s="2" t="inlineStr">
        <is>
          <t>Livre (ou Não aplicável)</t>
        </is>
      </c>
      <c r="I9" s="2" t="inlineStr">
        <is>
          <t>Duas evidências</t>
        </is>
      </c>
      <c r="J9" s="2" t="inlineStr">
        <is>
          <t>Contradição entre documentos</t>
        </is>
      </c>
      <c r="K9" s="2" t="inlineStr">
        <is>
          <t>Transição em até 30 dias (RFP) × em até 60 dias (Anexo I).</t>
        </is>
      </c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>
        <is>
          <t>G09</t>
        </is>
      </c>
      <c r="B10" s="2" t="inlineStr"/>
      <c r="C10" s="2" t="inlineStr">
        <is>
          <t>RFP (PDF)</t>
        </is>
      </c>
      <c r="D10" s="2" t="inlineStr">
        <is>
          <t>p. 3 (impressa: 2) · §4.1</t>
        </is>
      </c>
      <c r="E10" s="2" t="inlineStr">
        <is>
          <t>Instrução de resposta</t>
        </is>
      </c>
      <c r="F10" s="2" t="inlineStr">
        <is>
          <t>Administrativo do processo</t>
        </is>
      </c>
      <c r="G10" s="2" t="inlineStr">
        <is>
          <t>Baixa–Média</t>
        </is>
      </c>
      <c r="H10" s="2" t="inlineStr">
        <is>
          <t>Livre (ou Não aplicável)</t>
        </is>
      </c>
      <c r="I10" s="2" t="inlineStr">
        <is>
          <t>—</t>
        </is>
      </c>
      <c r="J10" s="2" t="inlineStr">
        <is>
          <t>Instruções</t>
        </is>
      </c>
      <c r="K10" s="2" t="inlineStr">
        <is>
          <t>Proposta em português, entregue somente pelo portal.</t>
        </is>
      </c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2" t="inlineStr">
        <is>
          <t>G10</t>
        </is>
      </c>
      <c r="B11" s="2" t="inlineStr"/>
      <c r="C11" s="2" t="inlineStr">
        <is>
          <t>RFP (PDF)</t>
        </is>
      </c>
      <c r="D11" s="2" t="inlineStr">
        <is>
          <t>p. 3 (impressa: 2) · §4.2</t>
        </is>
      </c>
      <c r="E11" s="2" t="inlineStr">
        <is>
          <t>Instrução de resposta</t>
        </is>
      </c>
      <c r="F11" s="2" t="inlineStr">
        <is>
          <t>Administrativo do processo</t>
        </is>
      </c>
      <c r="G11" s="2" t="inlineStr">
        <is>
          <t>Média</t>
        </is>
      </c>
      <c r="H11" s="2" t="inlineStr">
        <is>
          <t>Livre (ou Não aplicável)</t>
        </is>
      </c>
      <c r="I11" s="2" t="inlineStr">
        <is>
          <t>—</t>
        </is>
      </c>
      <c r="J11" s="2" t="inlineStr">
        <is>
          <t>Instruções</t>
        </is>
      </c>
      <c r="K11" s="2" t="inlineStr">
        <is>
          <t>Proposta técnica com no máximo 40 páginas.</t>
        </is>
      </c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2" t="inlineStr">
        <is>
          <t>G11</t>
        </is>
      </c>
      <c r="B12" s="2" t="inlineStr">
        <is>
          <t>★</t>
        </is>
      </c>
      <c r="C12" s="2" t="inlineStr">
        <is>
          <t>RFP (PDF)</t>
        </is>
      </c>
      <c r="D12" s="2" t="inlineStr">
        <is>
          <t>p. 3 (impressa: 2) · §4.3</t>
        </is>
      </c>
      <c r="E12" s="2" t="inlineStr">
        <is>
          <t>Lacuna (documento citado e não fornecido)</t>
        </is>
      </c>
      <c r="F12" s="2" t="inlineStr">
        <is>
          <t>Comercial/Preço</t>
        </is>
      </c>
      <c r="G12" s="2" t="inlineStr">
        <is>
          <t>Alta–Crítica</t>
        </is>
      </c>
      <c r="H12" s="2" t="inlineStr">
        <is>
          <t>Livre (ou Não aplicável)</t>
        </is>
      </c>
      <c r="I12" s="2" t="inlineStr">
        <is>
          <t>—</t>
        </is>
      </c>
      <c r="J12" s="2" t="inlineStr">
        <is>
          <t>Anexo referenciado e não fornecido</t>
        </is>
      </c>
      <c r="K12" s="2" t="inlineStr">
        <is>
          <t>Anexo IV — Planilha de Preços é citado, mas não foi fornecido.</t>
        </is>
      </c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2" t="inlineStr">
        <is>
          <t>G12</t>
        </is>
      </c>
      <c r="B13" s="2" t="inlineStr">
        <is>
          <t>★</t>
        </is>
      </c>
      <c r="C13" s="2" t="inlineStr">
        <is>
          <t>RFP (PDF)</t>
        </is>
      </c>
      <c r="D13" s="2" t="inlineStr">
        <is>
          <t>p. 3 (impressa: 2) · §5.1 a</t>
        </is>
      </c>
      <c r="E13" s="2" t="inlineStr">
        <is>
          <t>Critério eliminatório / de habilitação</t>
        </is>
      </c>
      <c r="F13" s="2" t="inlineStr">
        <is>
          <t>Segurança da Informação/Cyber</t>
        </is>
      </c>
      <c r="G13" s="2" t="inlineStr">
        <is>
          <t>Crítica</t>
        </is>
      </c>
      <c r="H13" s="2" t="inlineStr">
        <is>
          <t>ISO/IEC 27001:2022 — cláusula 4.3 (escopo)</t>
        </is>
      </c>
      <c r="I13" s="2" t="inlineStr">
        <is>
          <t>—</t>
        </is>
      </c>
      <c r="J13" s="2" t="inlineStr">
        <is>
          <t>Critério eliminatório</t>
        </is>
      </c>
      <c r="K13" s="2" t="inlineStr">
        <is>
          <t>Certificado ISO/IEC 27001 vigente com escopo que inclua o SOC.</t>
        </is>
      </c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G13</t>
        </is>
      </c>
      <c r="B14" s="2" t="inlineStr">
        <is>
          <t>★</t>
        </is>
      </c>
      <c r="C14" s="2" t="inlineStr">
        <is>
          <t>RFP (PDF)</t>
        </is>
      </c>
      <c r="D14" s="2" t="inlineStr">
        <is>
          <t>p. 3 (impressa: 2) · §5.1 b</t>
        </is>
      </c>
      <c r="E14" s="2" t="inlineStr">
        <is>
          <t>Critério eliminatório / de habilitação</t>
        </is>
      </c>
      <c r="F14" s="2" t="inlineStr">
        <is>
          <t>Administrativo do processo</t>
        </is>
      </c>
      <c r="G14" s="2" t="inlineStr">
        <is>
          <t>Crítica</t>
        </is>
      </c>
      <c r="H14" s="2" t="inlineStr">
        <is>
          <t>Livre (ou Não aplicável)</t>
        </is>
      </c>
      <c r="I14" s="2" t="inlineStr">
        <is>
          <t>—</t>
        </is>
      </c>
      <c r="J14" s="2" t="inlineStr">
        <is>
          <t>Critério eliminatório</t>
        </is>
      </c>
      <c r="K14" s="2" t="inlineStr">
        <is>
          <t>3 atestados de SOC para instituições financeiras com ≥ 2.000 usuários.</t>
        </is>
      </c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2" t="inlineStr">
        <is>
          <t>G14</t>
        </is>
      </c>
      <c r="B15" s="2" t="inlineStr">
        <is>
          <t>★</t>
        </is>
      </c>
      <c r="C15" s="2" t="inlineStr">
        <is>
          <t>RFP (PDF)</t>
        </is>
      </c>
      <c r="D15" s="2" t="inlineStr">
        <is>
          <t>p. 3 (impressa: 2) · §5.1 c</t>
        </is>
      </c>
      <c r="E15" s="2" t="inlineStr">
        <is>
          <t>Critério eliminatório / de habilitação</t>
        </is>
      </c>
      <c r="F15" s="2" t="inlineStr">
        <is>
          <t>Regulatório/Compliance</t>
        </is>
      </c>
      <c r="G15" s="2" t="inlineStr">
        <is>
          <t>Crítica</t>
        </is>
      </c>
      <c r="H15" s="2" t="inlineStr">
        <is>
          <t>Livre (ou Não aplicável)</t>
        </is>
      </c>
      <c r="I15" s="2" t="inlineStr">
        <is>
          <t>Confirmado por G61</t>
        </is>
      </c>
      <c r="J15" s="2" t="inlineStr">
        <is>
          <t>Critério eliminatório</t>
        </is>
      </c>
      <c r="K15" s="2" t="inlineStr">
        <is>
          <t>SOC localizado em território nacional.</t>
        </is>
      </c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2" t="inlineStr">
        <is>
          <t>G15</t>
        </is>
      </c>
      <c r="B16" s="2" t="inlineStr"/>
      <c r="C16" s="2" t="inlineStr">
        <is>
          <t>RFP (PDF)</t>
        </is>
      </c>
      <c r="D16" s="2" t="inlineStr">
        <is>
          <t>p. 3 (impressa: 2) · §5.2</t>
        </is>
      </c>
      <c r="E16" s="2" t="inlineStr">
        <is>
          <t>Ambiguidade</t>
        </is>
      </c>
      <c r="F16" s="2" t="inlineStr">
        <is>
          <t>Pessoas/Equipe</t>
        </is>
      </c>
      <c r="G16" s="2" t="inlineStr">
        <is>
          <t>Média–Alta</t>
        </is>
      </c>
      <c r="H16" s="2" t="inlineStr">
        <is>
          <t>Livre (ou Não aplicável)</t>
        </is>
      </c>
      <c r="I16" s="2" t="inlineStr">
        <is>
          <t>—</t>
        </is>
      </c>
      <c r="J16" s="2" t="inlineStr">
        <is>
          <t>Ambiguidade + pergunta</t>
        </is>
      </c>
      <c r="K16" s="2" t="inlineStr">
        <is>
          <t>"Equipe devidamente certificada": quais certificações e quantos profissionais?</t>
        </is>
      </c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2" t="inlineStr">
        <is>
          <t>G16</t>
        </is>
      </c>
      <c r="B17" s="2" t="inlineStr"/>
      <c r="C17" s="2" t="inlineStr">
        <is>
          <t>RFP (PDF)</t>
        </is>
      </c>
      <c r="D17" s="2" t="inlineStr">
        <is>
          <t>p. 4 (impressa: 3) · §6.1</t>
        </is>
      </c>
      <c r="E17" s="2" t="inlineStr">
        <is>
          <t>Critério de avaliação / pontuação</t>
        </is>
      </c>
      <c r="F17" s="2" t="inlineStr">
        <is>
          <t>Administrativo do processo</t>
        </is>
      </c>
      <c r="G17" s="2" t="inlineStr">
        <is>
          <t>Alta</t>
        </is>
      </c>
      <c r="H17" s="2" t="inlineStr">
        <is>
          <t>APMP BoK (Boa prática)</t>
        </is>
      </c>
      <c r="I17" s="2" t="inlineStr">
        <is>
          <t>—</t>
        </is>
      </c>
      <c r="J17" s="2" t="inlineStr">
        <is>
          <t>Pontuação</t>
        </is>
      </c>
      <c r="K17" s="2" t="inlineStr">
        <is>
          <t>Técnica 60% / Preço 40%.</t>
        </is>
      </c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2" t="inlineStr">
        <is>
          <t>G17</t>
        </is>
      </c>
      <c r="B18" s="2" t="inlineStr">
        <is>
          <t>★</t>
        </is>
      </c>
      <c r="C18" s="2" t="inlineStr">
        <is>
          <t>RFP (PDF)</t>
        </is>
      </c>
      <c r="D18" s="2" t="inlineStr">
        <is>
          <t>p. 4 (impressa: 3) · §6.2 (tabela)</t>
        </is>
      </c>
      <c r="E18" s="2" t="inlineStr">
        <is>
          <t>Contradição</t>
        </is>
      </c>
      <c r="F18" s="2" t="inlineStr">
        <is>
          <t>Administrativo do processo</t>
        </is>
      </c>
      <c r="G18" s="2" t="inlineStr">
        <is>
          <t>Alta</t>
        </is>
      </c>
      <c r="H18" s="2" t="inlineStr">
        <is>
          <t>Livre (ou Não aplicável)</t>
        </is>
      </c>
      <c r="I18" s="2" t="inlineStr">
        <is>
          <t>Relaciona-se a G18</t>
        </is>
      </c>
      <c r="J18" s="2" t="inlineStr">
        <is>
          <t>Contradição no mesmo documento</t>
        </is>
      </c>
      <c r="K18" s="2" t="inlineStr">
        <is>
          <t>Máximo declarado de 60 pontos × critérios que somam 65 (20+20+15+10).</t>
        </is>
      </c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2" t="inlineStr">
        <is>
          <t>G18</t>
        </is>
      </c>
      <c r="B19" s="2" t="inlineStr">
        <is>
          <t>★</t>
        </is>
      </c>
      <c r="C19" s="2" t="inlineStr">
        <is>
          <t>RFP (PDF)</t>
        </is>
      </c>
      <c r="D19" s="2" t="inlineStr">
        <is>
          <t>p. 4 (impressa: 3) · §6.3</t>
        </is>
      </c>
      <c r="E19" s="2" t="inlineStr">
        <is>
          <t>Critério eliminatório / de habilitação</t>
        </is>
      </c>
      <c r="F19" s="2" t="inlineStr">
        <is>
          <t>Administrativo do processo</t>
        </is>
      </c>
      <c r="G19" s="2" t="inlineStr">
        <is>
          <t>Alta–Crítica</t>
        </is>
      </c>
      <c r="H19" s="2" t="inlineStr">
        <is>
          <t>Livre (ou Não aplicável)</t>
        </is>
      </c>
      <c r="I19" s="2" t="inlineStr">
        <is>
          <t>Relaciona-se a G17</t>
        </is>
      </c>
      <c r="J19" s="2" t="inlineStr">
        <is>
          <t>Efeito em cadeia</t>
        </is>
      </c>
      <c r="K19" s="2" t="inlineStr">
        <is>
          <t>Nota técnica &lt; 70% desclassifica; o corte fica ambíguo (42 ou 45,5 pontos?).</t>
        </is>
      </c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2" t="inlineStr">
        <is>
          <t>G19</t>
        </is>
      </c>
      <c r="B20" s="2" t="inlineStr"/>
      <c r="C20" s="2" t="inlineStr">
        <is>
          <t>RFP (PDF)</t>
        </is>
      </c>
      <c r="D20" s="2" t="inlineStr">
        <is>
          <t>p. 4 (impressa: 3) · §6.4</t>
        </is>
      </c>
      <c r="E20" s="2" t="inlineStr">
        <is>
          <t>Critério de avaliação / pontuação</t>
        </is>
      </c>
      <c r="F20" s="2" t="inlineStr">
        <is>
          <t>Comercial/Preço</t>
        </is>
      </c>
      <c r="G20" s="2" t="inlineStr">
        <is>
          <t>Baixa–Média</t>
        </is>
      </c>
      <c r="H20" s="2" t="inlineStr">
        <is>
          <t>Livre (ou Não aplicável)</t>
        </is>
      </c>
      <c r="I20" s="2" t="inlineStr">
        <is>
          <t>—</t>
        </is>
      </c>
      <c r="J20" s="2" t="inlineStr">
        <is>
          <t>Pontuação</t>
        </is>
      </c>
      <c r="K20" s="2" t="inlineStr">
        <is>
          <t>Desempate pelo menor preço.</t>
        </is>
      </c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2" t="inlineStr">
        <is>
          <t>G20</t>
        </is>
      </c>
      <c r="B21" s="2" t="inlineStr"/>
      <c r="C21" s="2" t="inlineStr">
        <is>
          <t>RFP (PDF)</t>
        </is>
      </c>
      <c r="D21" s="2" t="inlineStr">
        <is>
          <t>p. 5 (impressa: 4) · §7.1</t>
        </is>
      </c>
      <c r="E21" s="2" t="inlineStr">
        <is>
          <t>Obrigação contratual</t>
        </is>
      </c>
      <c r="F21" s="2" t="inlineStr">
        <is>
          <t>Jurídico/Contratual</t>
        </is>
      </c>
      <c r="G21" s="2" t="inlineStr">
        <is>
          <t>Baixa–Média</t>
        </is>
      </c>
      <c r="H21" s="2" t="inlineStr">
        <is>
          <t>Livre (ou Não aplicável)</t>
        </is>
      </c>
      <c r="I21" s="2" t="inlineStr">
        <is>
          <t>—</t>
        </is>
      </c>
      <c r="J21" s="2" t="inlineStr">
        <is>
          <t>Contratual</t>
        </is>
      </c>
      <c r="K21" s="2" t="inlineStr">
        <is>
          <t>Vigência de 36 meses, prorrogável.</t>
        </is>
      </c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2" t="inlineStr">
        <is>
          <t>G21</t>
        </is>
      </c>
      <c r="B22" s="2" t="inlineStr"/>
      <c r="C22" s="2" t="inlineStr">
        <is>
          <t>RFP (PDF)</t>
        </is>
      </c>
      <c r="D22" s="2" t="inlineStr">
        <is>
          <t>p. 5 (impressa: 4) · §7.2</t>
        </is>
      </c>
      <c r="E22" s="2" t="inlineStr">
        <is>
          <t>Obrigação contratual</t>
        </is>
      </c>
      <c r="F22" s="2" t="inlineStr">
        <is>
          <t>Financeiro</t>
        </is>
      </c>
      <c r="G22" s="2" t="inlineStr">
        <is>
          <t>Baixa–Média</t>
        </is>
      </c>
      <c r="H22" s="2" t="inlineStr">
        <is>
          <t>Livre (ou Não aplicável)</t>
        </is>
      </c>
      <c r="I22" s="2" t="inlineStr">
        <is>
          <t>—</t>
        </is>
      </c>
      <c r="J22" s="2" t="inlineStr">
        <is>
          <t>Contratual</t>
        </is>
      </c>
      <c r="K22" s="2" t="inlineStr">
        <is>
          <t>Reajuste anual pelo IPCA.</t>
        </is>
      </c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2" t="inlineStr">
        <is>
          <t>G22</t>
        </is>
      </c>
      <c r="B23" s="2" t="inlineStr"/>
      <c r="C23" s="2" t="inlineStr">
        <is>
          <t>RFP (PDF)</t>
        </is>
      </c>
      <c r="D23" s="2" t="inlineStr">
        <is>
          <t>p. 5 (impressa: 4) · §7.3</t>
        </is>
      </c>
      <c r="E23" s="2" t="inlineStr">
        <is>
          <t>Obrigação contratual</t>
        </is>
      </c>
      <c r="F23" s="2" t="inlineStr">
        <is>
          <t>Financeiro</t>
        </is>
      </c>
      <c r="G23" s="2" t="inlineStr">
        <is>
          <t>Média</t>
        </is>
      </c>
      <c r="H23" s="2" t="inlineStr">
        <is>
          <t>Livre (ou Não aplicável)</t>
        </is>
      </c>
      <c r="I23" s="2" t="inlineStr">
        <is>
          <t>—</t>
        </is>
      </c>
      <c r="J23" s="2" t="inlineStr">
        <is>
          <t>Fluxo de caixa</t>
        </is>
      </c>
      <c r="K23" s="2" t="inlineStr">
        <is>
          <t>Pagamento em até 60 dias após o aceite da nota fiscal.</t>
        </is>
      </c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G23</t>
        </is>
      </c>
      <c r="B24" s="2" t="inlineStr">
        <is>
          <t>★</t>
        </is>
      </c>
      <c r="C24" s="2" t="inlineStr">
        <is>
          <t>RFP (PDF)</t>
        </is>
      </c>
      <c r="D24" s="2" t="inlineStr">
        <is>
          <t>p. 5 (impressa: 4) · §7.4</t>
        </is>
      </c>
      <c r="E24" s="2" t="inlineStr">
        <is>
          <t>Penalidade / multa / glosa</t>
        </is>
      </c>
      <c r="F24" s="2" t="inlineStr">
        <is>
          <t>Jurídico/Contratual</t>
        </is>
      </c>
      <c r="G24" s="2" t="inlineStr">
        <is>
          <t>Crítica</t>
        </is>
      </c>
      <c r="H24" s="2" t="inlineStr">
        <is>
          <t>Livre (ou Não aplicável)</t>
        </is>
      </c>
      <c r="I24" s="2" t="inlineStr">
        <is>
          <t>Confirmado por G63; relaciona-se a G37, G40</t>
        </is>
      </c>
      <c r="J24" s="2" t="inlineStr">
        <is>
          <t>Exposição sem teto</t>
        </is>
      </c>
      <c r="K24" s="2" t="inlineStr">
        <is>
          <t>Multa de 10% do valor mensal por ocorrência, sem limite máximo.</t>
        </is>
      </c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2" t="inlineStr">
        <is>
          <t>G24</t>
        </is>
      </c>
      <c r="B25" s="2" t="inlineStr">
        <is>
          <t>★</t>
        </is>
      </c>
      <c r="C25" s="2" t="inlineStr">
        <is>
          <t>RFP (PDF)</t>
        </is>
      </c>
      <c r="D25" s="2" t="inlineStr">
        <is>
          <t>p. 5 (impressa: 4) · §7.5</t>
        </is>
      </c>
      <c r="E25" s="2" t="inlineStr">
        <is>
          <t>Obrigação contratual (ou Risco)</t>
        </is>
      </c>
      <c r="F25" s="2" t="inlineStr">
        <is>
          <t>Jurídico/Contratual</t>
        </is>
      </c>
      <c r="G25" s="2" t="inlineStr">
        <is>
          <t>Alta–Crítica</t>
        </is>
      </c>
      <c r="H25" s="2" t="inlineStr">
        <is>
          <t>Livre (ou Não aplicável)</t>
        </is>
      </c>
      <c r="I25" s="2" t="inlineStr">
        <is>
          <t>—</t>
        </is>
      </c>
      <c r="J25" s="2" t="inlineStr">
        <is>
          <t>Regra da Severidade 5</t>
        </is>
      </c>
      <c r="K25" s="2" t="inlineStr">
        <is>
          <t>Responsabilidade integral e ilimitada por incidentes de segurança.</t>
        </is>
      </c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2" t="inlineStr">
        <is>
          <t>G25</t>
        </is>
      </c>
      <c r="B26" s="2" t="inlineStr"/>
      <c r="C26" s="2" t="inlineStr">
        <is>
          <t>RFP (PDF)</t>
        </is>
      </c>
      <c r="D26" s="2" t="inlineStr">
        <is>
          <t>p. 5 (impressa: 4) · §7.6</t>
        </is>
      </c>
      <c r="E26" s="2" t="inlineStr">
        <is>
          <t>Ambiguidade</t>
        </is>
      </c>
      <c r="F26" s="2" t="inlineStr">
        <is>
          <t>Jurídico/Contratual</t>
        </is>
      </c>
      <c r="G26" s="2" t="inlineStr">
        <is>
          <t>Média</t>
        </is>
      </c>
      <c r="H26" s="2" t="inlineStr">
        <is>
          <t>Livre (ou Não aplicável)</t>
        </is>
      </c>
      <c r="I26" s="2" t="inlineStr">
        <is>
          <t>—</t>
        </is>
      </c>
      <c r="J26" s="2" t="inlineStr">
        <is>
          <t>Ambiguidade + pergunta</t>
        </is>
      </c>
      <c r="K26" s="2" t="inlineStr">
        <is>
          <t>Seguro cibernético "em valor compatível", sem valor definido.</t>
        </is>
      </c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G26</t>
        </is>
      </c>
      <c r="B27" s="2" t="inlineStr"/>
      <c r="C27" s="2" t="inlineStr">
        <is>
          <t>RFP (PDF)</t>
        </is>
      </c>
      <c r="D27" s="2" t="inlineStr">
        <is>
          <t>p. 5 (impressa: 4) · §7.7</t>
        </is>
      </c>
      <c r="E27" s="2" t="inlineStr">
        <is>
          <t>Restrição (+ Risco inferido)</t>
        </is>
      </c>
      <c r="F27" s="2" t="inlineStr">
        <is>
          <t>Jurídico/Contratual</t>
        </is>
      </c>
      <c r="G27" s="2" t="inlineStr">
        <is>
          <t>Alta</t>
        </is>
      </c>
      <c r="H27" s="2" t="inlineStr">
        <is>
          <t>Livre (ou Não aplicável)</t>
        </is>
      </c>
      <c r="I27" s="2" t="inlineStr">
        <is>
          <t>Relaciona-se a G32</t>
        </is>
      </c>
      <c r="J27" s="2" t="inlineStr">
        <is>
          <t>Conflito implícito</t>
        </is>
      </c>
      <c r="K27" s="2" t="inlineStr">
        <is>
          <t>Subcontratação vedada × SIEM em nuvem pública de terceiro (Anexo I §1.2).</t>
        </is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G27</t>
        </is>
      </c>
      <c r="B28" s="2" t="inlineStr"/>
      <c r="C28" s="2" t="inlineStr">
        <is>
          <t>RFP (PDF)</t>
        </is>
      </c>
      <c r="D28" s="2" t="inlineStr">
        <is>
          <t>p. 5 (impressa: 4) · §7.8</t>
        </is>
      </c>
      <c r="E28" s="2" t="inlineStr">
        <is>
          <t>Obrigação contratual</t>
        </is>
      </c>
      <c r="F28" s="2" t="inlineStr">
        <is>
          <t>Jurídico/Contratual</t>
        </is>
      </c>
      <c r="G28" s="2" t="inlineStr">
        <is>
          <t>Baixa–Média</t>
        </is>
      </c>
      <c r="H28" s="2" t="inlineStr">
        <is>
          <t>Livre (ou Não aplicável)</t>
        </is>
      </c>
      <c r="I28" s="2" t="inlineStr">
        <is>
          <t>—</t>
        </is>
      </c>
      <c r="J28" s="2" t="inlineStr">
        <is>
          <t>Contratual</t>
        </is>
      </c>
      <c r="K28" s="2" t="inlineStr">
        <is>
          <t>Confidencialidade por 5 anos após o término.</t>
        </is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G28</t>
        </is>
      </c>
      <c r="B29" s="2" t="inlineStr">
        <is>
          <t>★</t>
        </is>
      </c>
      <c r="C29" s="2" t="inlineStr">
        <is>
          <t>RFP (PDF)</t>
        </is>
      </c>
      <c r="D29" s="2" t="inlineStr">
        <is>
          <t>p. 6 (impressa: 5) · Anexo III (OCR)</t>
        </is>
      </c>
      <c r="E29" s="2" t="inlineStr">
        <is>
          <t>Critério eliminatório / de habilitação</t>
        </is>
      </c>
      <c r="F29" s="2" t="inlineStr">
        <is>
          <t>Regulatório/Compliance</t>
        </is>
      </c>
      <c r="G29" s="2" t="inlineStr">
        <is>
          <t>Crítica</t>
        </is>
      </c>
      <c r="H29" s="2" t="inlineStr">
        <is>
          <t>Livre (ou Não aplicável)</t>
        </is>
      </c>
      <c r="I29" s="2" t="inlineStr">
        <is>
          <t>—</t>
        </is>
      </c>
      <c r="J29" s="2" t="inlineStr">
        <is>
          <t>Leitura de página escaneada</t>
        </is>
      </c>
      <c r="K29" s="2" t="inlineStr">
        <is>
          <t>Declaração de localização de dados, assinada, sob pena de inabilitação.</t>
        </is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G29</t>
        </is>
      </c>
      <c r="B30" s="2" t="inlineStr">
        <is>
          <t>★</t>
        </is>
      </c>
      <c r="C30" s="2" t="inlineStr">
        <is>
          <t>RFP (PDF) × Anexo I (Word)</t>
        </is>
      </c>
      <c r="D30" s="2" t="inlineStr">
        <is>
          <t>RFP p. 6 (impressa: 5) Anexo III (OCR) × Anexo I §1.2</t>
        </is>
      </c>
      <c r="E30" s="2" t="inlineStr">
        <is>
          <t>Contradição</t>
        </is>
      </c>
      <c r="F30" s="2" t="inlineStr">
        <is>
          <t>Privacidade/Proteção de Dados</t>
        </is>
      </c>
      <c r="G30" s="2" t="inlineStr">
        <is>
          <t>Crítica</t>
        </is>
      </c>
      <c r="H30" s="2" t="inlineStr">
        <is>
          <t>ISO/IEC 27001:2022 A.5.23 · Res. CMN 4.893/2021 (artigo a confirmar)</t>
        </is>
      </c>
      <c r="I30" s="2" t="inlineStr">
        <is>
          <t>Duas evidências</t>
        </is>
      </c>
      <c r="J30" s="2" t="inlineStr">
        <is>
          <t>Contradição envolvendo OCR</t>
        </is>
      </c>
      <c r="K30" s="2" t="inlineStr">
        <is>
          <t>Dados exclusivamente no Brasil (Anexo III) × SIEM em nuvem com região de livre escolha (Anexo I).</t>
        </is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G30</t>
        </is>
      </c>
      <c r="B31" s="2" t="inlineStr">
        <is>
          <t>★</t>
        </is>
      </c>
      <c r="C31" s="2" t="inlineStr">
        <is>
          <t>Todos</t>
        </is>
      </c>
      <c r="D31" s="2" t="inlineStr">
        <is>
          <t>RFP §2.1 × Apresentação slide 2 × Q&amp;A nº 5 (linha 6) × notas do slide 5</t>
        </is>
      </c>
      <c r="E31" s="2" t="inlineStr">
        <is>
          <t>Contradição</t>
        </is>
      </c>
      <c r="F31" s="2" t="inlineStr">
        <is>
          <t>Comercial/Preço</t>
        </is>
      </c>
      <c r="G31" s="2" t="inlineStr">
        <is>
          <t>Alta–Crítica</t>
        </is>
      </c>
      <c r="H31" s="2" t="inlineStr">
        <is>
          <t>Livre (ou Não aplicável)</t>
        </is>
      </c>
      <c r="I31" s="2" t="inlineStr">
        <is>
          <t>Relaciona-se a G02, G04, G52, G58, G64</t>
        </is>
      </c>
      <c r="J31" s="2" t="inlineStr">
        <is>
          <t>Contradição entre 4 fontes</t>
        </is>
      </c>
      <c r="K31" s="2" t="inlineStr">
        <is>
          <t>Usuários: 4.500 × 6.200 × 5.000 × +900 das subsidiárias.</t>
        </is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G31</t>
        </is>
      </c>
      <c r="B32" s="2" t="inlineStr"/>
      <c r="C32" s="2" t="inlineStr">
        <is>
          <t>Anexo I (Word)</t>
        </is>
      </c>
      <c r="D32" s="2" t="inlineStr">
        <is>
          <t>§1.1</t>
        </is>
      </c>
      <c r="E32" s="2" t="inlineStr">
        <is>
          <t>Requisito funcional / de serviço</t>
        </is>
      </c>
      <c r="F32" s="2" t="inlineStr">
        <is>
          <t>Segurança da Informação/Cyber</t>
        </is>
      </c>
      <c r="G32" s="2" t="inlineStr">
        <is>
          <t>Média–Alta</t>
        </is>
      </c>
      <c r="H32" s="2" t="inlineStr">
        <is>
          <t>ISO/IEC 27001:2022 A.8.16 · NIST CSF 2.0 DE.CM</t>
        </is>
      </c>
      <c r="I32" s="2" t="inlineStr">
        <is>
          <t>Pode ser duplicado de G03</t>
        </is>
      </c>
      <c r="J32" s="2" t="inlineStr">
        <is>
          <t>Associação a framework</t>
        </is>
      </c>
      <c r="K32" s="2" t="inlineStr">
        <is>
          <t>Monitoramento contínuo 24x7x365.</t>
        </is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2" t="inlineStr">
        <is>
          <t>G32</t>
        </is>
      </c>
      <c r="B33" s="2" t="inlineStr"/>
      <c r="C33" s="2" t="inlineStr">
        <is>
          <t>Anexo I (Word)</t>
        </is>
      </c>
      <c r="D33" s="2" t="inlineStr">
        <is>
          <t>§1.2</t>
        </is>
      </c>
      <c r="E33" s="2" t="inlineStr">
        <is>
          <t>Requisito funcional / de serviço</t>
        </is>
      </c>
      <c r="F33" s="2" t="inlineStr">
        <is>
          <t>Infraestrutura/Cloud</t>
        </is>
      </c>
      <c r="G33" s="2" t="inlineStr">
        <is>
          <t>Alta</t>
        </is>
      </c>
      <c r="H33" s="2" t="inlineStr">
        <is>
          <t>ISO/IEC 27001:2022 A.5.23</t>
        </is>
      </c>
      <c r="I33" s="2" t="inlineStr">
        <is>
          <t>Relaciona-se a G26, G29, G51</t>
        </is>
      </c>
      <c r="J33" s="2" t="inlineStr">
        <is>
          <t>Associação a framework</t>
        </is>
      </c>
      <c r="K33" s="2" t="inlineStr">
        <is>
          <t>Fornecer SIEM, podendo ser em nuvem pública com região livre.</t>
        </is>
      </c>
      <c r="L33" s="3" t="inlineStr"/>
      <c r="M33" s="3" t="inlineStr"/>
      <c r="N33" s="3" t="inlineStr"/>
      <c r="O33" s="3" t="inlineStr"/>
      <c r="P33" s="3" t="inlineStr"/>
      <c r="Q33" s="3" t="inlineStr"/>
    </row>
    <row r="34">
      <c r="A34" s="2" t="inlineStr">
        <is>
          <t>G33</t>
        </is>
      </c>
      <c r="B34" s="2" t="inlineStr">
        <is>
          <t>★</t>
        </is>
      </c>
      <c r="C34" s="2" t="inlineStr">
        <is>
          <t>Anexo I (Word)</t>
        </is>
      </c>
      <c r="D34" s="2" t="inlineStr">
        <is>
          <t>§1.3 × §1.6</t>
        </is>
      </c>
      <c r="E34" s="2" t="inlineStr">
        <is>
          <t>Contradição</t>
        </is>
      </c>
      <c r="F34" s="2" t="inlineStr">
        <is>
          <t>Segurança da Informação/Cyber</t>
        </is>
      </c>
      <c r="G34" s="2" t="inlineStr">
        <is>
          <t>Alta</t>
        </is>
      </c>
      <c r="H34" s="2" t="inlineStr">
        <is>
          <t>ISO/IEC 27001:2022 A.8.15</t>
        </is>
      </c>
      <c r="I34" s="2" t="inlineStr">
        <is>
          <t>Relaciona-se a QT-03 (G66)</t>
        </is>
      </c>
      <c r="J34" s="2" t="inlineStr">
        <is>
          <t>Contradição no mesmo documento</t>
        </is>
      </c>
      <c r="K34" s="2" t="inlineStr">
        <is>
          <t>Retenção de logs: mínimo de 12 meses × 5 anos.</t>
        </is>
      </c>
      <c r="L34" s="3" t="inlineStr"/>
      <c r="M34" s="3" t="inlineStr"/>
      <c r="N34" s="3" t="inlineStr"/>
      <c r="O34" s="3" t="inlineStr"/>
      <c r="P34" s="3" t="inlineStr"/>
      <c r="Q34" s="3" t="inlineStr"/>
    </row>
    <row r="35">
      <c r="A35" s="2" t="inlineStr">
        <is>
          <t>G34</t>
        </is>
      </c>
      <c r="B35" s="2" t="inlineStr"/>
      <c r="C35" s="2" t="inlineStr">
        <is>
          <t>Anexo I (Word)</t>
        </is>
      </c>
      <c r="D35" s="2" t="inlineStr">
        <is>
          <t>§1.4</t>
        </is>
      </c>
      <c r="E35" s="2" t="inlineStr">
        <is>
          <t>Ambiguidade</t>
        </is>
      </c>
      <c r="F35" s="2" t="inlineStr">
        <is>
          <t>Técnico/Arquitetura</t>
        </is>
      </c>
      <c r="G35" s="2" t="inlineStr">
        <is>
          <t>Alta</t>
        </is>
      </c>
      <c r="H35" s="2" t="inlineStr">
        <is>
          <t>Livre (ou Não aplicável)</t>
        </is>
      </c>
      <c r="I35" s="2" t="inlineStr">
        <is>
          <t>Relaciona-se a G35</t>
        </is>
      </c>
      <c r="J35" s="2" t="inlineStr">
        <is>
          <t>Ambiguidade</t>
        </is>
      </c>
      <c r="K35" s="2" t="inlineStr">
        <is>
          <t>"Todos os ativos relevantes": não define quais nem quantos.</t>
        </is>
      </c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G35</t>
        </is>
      </c>
      <c r="B36" s="2" t="inlineStr">
        <is>
          <t>★</t>
        </is>
      </c>
      <c r="C36" s="2" t="inlineStr">
        <is>
          <t>Anexo I (Word) + Q&amp;A e Questionário (Excel)</t>
        </is>
      </c>
      <c r="D36" s="2" t="inlineStr">
        <is>
          <t>Anexo I §1.4 + Q&amp;A nº 3 (linha 4)</t>
        </is>
      </c>
      <c r="E36" s="2" t="inlineStr">
        <is>
          <t>Lacuna</t>
        </is>
      </c>
      <c r="F36" s="2" t="inlineStr">
        <is>
          <t>Comercial/Preço</t>
        </is>
      </c>
      <c r="G36" s="2" t="inlineStr">
        <is>
          <t>Crítica</t>
        </is>
      </c>
      <c r="H36" s="2" t="inlineStr">
        <is>
          <t>Livre (ou Não aplicável)</t>
        </is>
      </c>
      <c r="I36" s="2" t="inlineStr">
        <is>
          <t>Continua após o Q&amp;A</t>
        </is>
      </c>
      <c r="J36" s="2" t="inlineStr">
        <is>
          <t>Lacuna que impede precificar</t>
        </is>
      </c>
      <c r="K36" s="2" t="inlineStr">
        <is>
          <t>Volumetria de EPS não informada; o Q&amp;A diz que só o vencedor a receberá.</t>
        </is>
      </c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2" t="inlineStr">
        <is>
          <t>G36</t>
        </is>
      </c>
      <c r="B37" s="2" t="inlineStr"/>
      <c r="C37" s="2" t="inlineStr">
        <is>
          <t>Anexo I (Word)</t>
        </is>
      </c>
      <c r="D37" s="2" t="inlineStr">
        <is>
          <t>§1.5</t>
        </is>
      </c>
      <c r="E37" s="2" t="inlineStr">
        <is>
          <t>Requisito funcional / de serviço</t>
        </is>
      </c>
      <c r="F37" s="2" t="inlineStr">
        <is>
          <t>Segurança da Informação/Cyber</t>
        </is>
      </c>
      <c r="G37" s="2" t="inlineStr">
        <is>
          <t>Alta</t>
        </is>
      </c>
      <c r="H37" s="2" t="inlineStr">
        <is>
          <t>ISO/IEC 27001:2022 A.5.24–A.5.28 (A.5.26) · NIST CSF 2.0 RS</t>
        </is>
      </c>
      <c r="I37" s="2" t="inlineStr">
        <is>
          <t>—</t>
        </is>
      </c>
      <c r="J37" s="2" t="inlineStr">
        <is>
          <t>Associação a framework</t>
        </is>
      </c>
      <c r="K37" s="2" t="inlineStr">
        <is>
          <t>Resposta a incidentes: contenção, erradicação e relatório.</t>
        </is>
      </c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2" t="inlineStr">
        <is>
          <t>G37</t>
        </is>
      </c>
      <c r="B38" s="2" t="inlineStr">
        <is>
          <t>★</t>
        </is>
      </c>
      <c r="C38" s="2" t="inlineStr">
        <is>
          <t>Anexo I (Word)</t>
        </is>
      </c>
      <c r="D38" s="2" t="inlineStr">
        <is>
          <t>§2.1</t>
        </is>
      </c>
      <c r="E38" s="2" t="inlineStr">
        <is>
          <t>SLA / KPI</t>
        </is>
      </c>
      <c r="F38" s="2" t="inlineStr">
        <is>
          <t>Operação/Serviços</t>
        </is>
      </c>
      <c r="G38" s="2" t="inlineStr">
        <is>
          <t>Alta–Crítica</t>
        </is>
      </c>
      <c r="H38" s="2" t="inlineStr">
        <is>
          <t>ITIL 4 — Gerenciamento de Nível de Serviço</t>
        </is>
      </c>
      <c r="I38" s="2" t="inlineStr">
        <is>
          <t>Relaciona-se a G23</t>
        </is>
      </c>
      <c r="J38" s="2" t="inlineStr">
        <is>
          <t>SLA × multa</t>
        </is>
      </c>
      <c r="K38" s="2" t="inlineStr">
        <is>
          <t>Início do tratamento de incidentes críticos em até 15 minutos.</t>
        </is>
      </c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2" t="inlineStr">
        <is>
          <t>G38</t>
        </is>
      </c>
      <c r="B39" s="2" t="inlineStr"/>
      <c r="C39" s="2" t="inlineStr">
        <is>
          <t>Anexo I (Word)</t>
        </is>
      </c>
      <c r="D39" s="2" t="inlineStr">
        <is>
          <t>§2.2</t>
        </is>
      </c>
      <c r="E39" s="2" t="inlineStr">
        <is>
          <t>SLA / KPI</t>
        </is>
      </c>
      <c r="F39" s="2" t="inlineStr">
        <is>
          <t>Operação/Serviços</t>
        </is>
      </c>
      <c r="G39" s="2" t="inlineStr">
        <is>
          <t>Alta</t>
        </is>
      </c>
      <c r="H39" s="2" t="inlineStr">
        <is>
          <t>ITIL 4 — Gerenciamento de Nível de Serviço</t>
        </is>
      </c>
      <c r="I39" s="2" t="inlineStr">
        <is>
          <t>Relaciona-se a G23</t>
        </is>
      </c>
      <c r="J39" s="2" t="inlineStr">
        <is>
          <t>SLA</t>
        </is>
      </c>
      <c r="K39" s="2" t="inlineStr">
        <is>
          <t>Disponibilidade do SIEM de 99,9%.</t>
        </is>
      </c>
      <c r="L39" s="3" t="inlineStr"/>
      <c r="M39" s="3" t="inlineStr"/>
      <c r="N39" s="3" t="inlineStr"/>
      <c r="O39" s="3" t="inlineStr"/>
      <c r="P39" s="3" t="inlineStr"/>
      <c r="Q39" s="3" t="inlineStr"/>
    </row>
    <row r="40">
      <c r="A40" s="2" t="inlineStr">
        <is>
          <t>G39</t>
        </is>
      </c>
      <c r="B40" s="2" t="inlineStr"/>
      <c r="C40" s="2" t="inlineStr">
        <is>
          <t>Anexo I (Word)</t>
        </is>
      </c>
      <c r="D40" s="2" t="inlineStr">
        <is>
          <t>§2.3</t>
        </is>
      </c>
      <c r="E40" s="2" t="inlineStr">
        <is>
          <t>Entregável (ou SLA)</t>
        </is>
      </c>
      <c r="F40" s="2" t="inlineStr">
        <is>
          <t>Operação/Serviços</t>
        </is>
      </c>
      <c r="G40" s="2" t="inlineStr">
        <is>
          <t>Média</t>
        </is>
      </c>
      <c r="H40" s="2" t="inlineStr">
        <is>
          <t>Livre (ou Não aplicável)</t>
        </is>
      </c>
      <c r="I40" s="2" t="inlineStr">
        <is>
          <t>Relaciona-se a G23</t>
        </is>
      </c>
      <c r="J40" s="2" t="inlineStr">
        <is>
          <t>Entregável</t>
        </is>
      </c>
      <c r="K40" s="2" t="inlineStr">
        <is>
          <t>Relatório mensal até o 5º dia útil.</t>
        </is>
      </c>
      <c r="L40" s="3" t="inlineStr"/>
      <c r="M40" s="3" t="inlineStr"/>
      <c r="N40" s="3" t="inlineStr"/>
      <c r="O40" s="3" t="inlineStr"/>
      <c r="P40" s="3" t="inlineStr"/>
      <c r="Q40" s="3" t="inlineStr"/>
    </row>
    <row r="41">
      <c r="A41" s="2" t="inlineStr">
        <is>
          <t>G40</t>
        </is>
      </c>
      <c r="B41" s="2" t="inlineStr">
        <is>
          <t>★</t>
        </is>
      </c>
      <c r="C41" s="2" t="inlineStr">
        <is>
          <t>Anexo I (Word)</t>
        </is>
      </c>
      <c r="D41" s="2" t="inlineStr">
        <is>
          <t>§2.4</t>
        </is>
      </c>
      <c r="E41" s="2" t="inlineStr">
        <is>
          <t>Lacuna (documento citado e não fornecido)</t>
        </is>
      </c>
      <c r="F41" s="2" t="inlineStr">
        <is>
          <t>Operação/Serviços</t>
        </is>
      </c>
      <c r="G41" s="2" t="inlineStr">
        <is>
          <t>Alta–Crítica</t>
        </is>
      </c>
      <c r="H41" s="2" t="inlineStr">
        <is>
          <t>Livre (ou Não aplicável)</t>
        </is>
      </c>
      <c r="I41" s="2" t="inlineStr">
        <is>
          <t>Relaciona-se a G23, G37</t>
        </is>
      </c>
      <c r="J41" s="2" t="inlineStr">
        <is>
          <t>Lacuna com efeito financeiro</t>
        </is>
      </c>
      <c r="K41" s="2" t="inlineStr">
        <is>
          <t>A matriz de criticidade do Contratante não foi fornecida e o SLA depende dela.</t>
        </is>
      </c>
      <c r="L41" s="3" t="inlineStr"/>
      <c r="M41" s="3" t="inlineStr"/>
      <c r="N41" s="3" t="inlineStr"/>
      <c r="O41" s="3" t="inlineStr"/>
      <c r="P41" s="3" t="inlineStr"/>
      <c r="Q41" s="3" t="inlineStr"/>
    </row>
    <row r="42">
      <c r="A42" s="2" t="inlineStr">
        <is>
          <t>G41</t>
        </is>
      </c>
      <c r="B42" s="2" t="inlineStr"/>
      <c r="C42" s="2" t="inlineStr">
        <is>
          <t>Anexo I (Word)</t>
        </is>
      </c>
      <c r="D42" s="2" t="inlineStr">
        <is>
          <t>§3.1</t>
        </is>
      </c>
      <c r="E42" s="2" t="inlineStr">
        <is>
          <t>Requisito funcional / de serviço</t>
        </is>
      </c>
      <c r="F42" s="2" t="inlineStr">
        <is>
          <t>Segurança da Informação/Cyber</t>
        </is>
      </c>
      <c r="G42" s="2" t="inlineStr">
        <is>
          <t>Média–Alta</t>
        </is>
      </c>
      <c r="H42" s="2" t="inlineStr">
        <is>
          <t>ISO/IEC 27001:2022 A.5.16 · A.5.18</t>
        </is>
      </c>
      <c r="I42" s="2" t="inlineStr">
        <is>
          <t>—</t>
        </is>
      </c>
      <c r="J42" s="2" t="inlineStr">
        <is>
          <t>Associação a framework</t>
        </is>
      </c>
      <c r="K42" s="2" t="inlineStr">
        <is>
          <t>Ciclo de vida de identidades; revogação em até 24h.</t>
        </is>
      </c>
      <c r="L42" s="3" t="inlineStr"/>
      <c r="M42" s="3" t="inlineStr"/>
      <c r="N42" s="3" t="inlineStr"/>
      <c r="O42" s="3" t="inlineStr"/>
      <c r="P42" s="3" t="inlineStr"/>
      <c r="Q42" s="3" t="inlineStr"/>
    </row>
    <row r="43">
      <c r="A43" s="2" t="inlineStr">
        <is>
          <t>G42</t>
        </is>
      </c>
      <c r="B43" s="2" t="inlineStr"/>
      <c r="C43" s="2" t="inlineStr">
        <is>
          <t>Anexo I (Word)</t>
        </is>
      </c>
      <c r="D43" s="2" t="inlineStr">
        <is>
          <t>§3.2</t>
        </is>
      </c>
      <c r="E43" s="2" t="inlineStr">
        <is>
          <t>Requisito não funcional</t>
        </is>
      </c>
      <c r="F43" s="2" t="inlineStr">
        <is>
          <t>Segurança da Informação/Cyber</t>
        </is>
      </c>
      <c r="G43" s="2" t="inlineStr">
        <is>
          <t>Média–Alta</t>
        </is>
      </c>
      <c r="H43" s="2" t="inlineStr">
        <is>
          <t>ISO/IEC 27001:2022 A.8.5 · A.8.2</t>
        </is>
      </c>
      <c r="I43" s="2" t="inlineStr">
        <is>
          <t>—</t>
        </is>
      </c>
      <c r="J43" s="2" t="inlineStr">
        <is>
          <t>Associação a framework</t>
        </is>
      </c>
      <c r="K43" s="2" t="inlineStr">
        <is>
          <t>MFA para 100% dos privilegiados.</t>
        </is>
      </c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G43</t>
        </is>
      </c>
      <c r="B44" s="2" t="inlineStr"/>
      <c r="C44" s="2" t="inlineStr">
        <is>
          <t>Anexo I (Word)</t>
        </is>
      </c>
      <c r="D44" s="2" t="inlineStr">
        <is>
          <t>§3.3</t>
        </is>
      </c>
      <c r="E44" s="2" t="inlineStr">
        <is>
          <t>Requisito funcional / de serviço</t>
        </is>
      </c>
      <c r="F44" s="2" t="inlineStr">
        <is>
          <t>Segurança da Informação/Cyber</t>
        </is>
      </c>
      <c r="G44" s="2" t="inlineStr">
        <is>
          <t>Média</t>
        </is>
      </c>
      <c r="H44" s="2" t="inlineStr">
        <is>
          <t>ISO/IEC 27001:2022 A.5.18</t>
        </is>
      </c>
      <c r="I44" s="2" t="inlineStr">
        <is>
          <t>—</t>
        </is>
      </c>
      <c r="J44" s="2" t="inlineStr">
        <is>
          <t>Associação a framework</t>
        </is>
      </c>
      <c r="K44" s="2" t="inlineStr">
        <is>
          <t>Recertificação trimestral de acessos.</t>
        </is>
      </c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2" t="inlineStr">
        <is>
          <t>G44</t>
        </is>
      </c>
      <c r="B45" s="2" t="inlineStr"/>
      <c r="C45" s="2" t="inlineStr">
        <is>
          <t>Anexo I (Word)</t>
        </is>
      </c>
      <c r="D45" s="2" t="inlineStr">
        <is>
          <t>§3.4</t>
        </is>
      </c>
      <c r="E45" s="2" t="inlineStr">
        <is>
          <t>Requisito (Desejável) ou Oportunidade</t>
        </is>
      </c>
      <c r="F45" s="2" t="inlineStr">
        <is>
          <t>Segurança da Informação/Cyber</t>
        </is>
      </c>
      <c r="G45" s="2" t="inlineStr">
        <is>
          <t>Baixa–Média (ou —, se Oportunidade)</t>
        </is>
      </c>
      <c r="H45" s="2" t="inlineStr">
        <is>
          <t>ISO/IEC 27001:2022 A.8.2</t>
        </is>
      </c>
      <c r="I45" s="2" t="inlineStr">
        <is>
          <t>Relaciona-se a G54</t>
        </is>
      </c>
      <c r="J45" s="2" t="inlineStr">
        <is>
          <t>Obrigatoriedade = Desejável</t>
        </is>
      </c>
      <c r="K45" s="2" t="inlineStr">
        <is>
          <t>Cofre de senhas (PAM) desejável.</t>
        </is>
      </c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2" t="inlineStr">
        <is>
          <t>G45</t>
        </is>
      </c>
      <c r="B46" s="2" t="inlineStr"/>
      <c r="C46" s="2" t="inlineStr">
        <is>
          <t>Anexo I (Word)</t>
        </is>
      </c>
      <c r="D46" s="2" t="inlineStr">
        <is>
          <t>§4.2</t>
        </is>
      </c>
      <c r="E46" s="2" t="inlineStr">
        <is>
          <t>Risco para o proponente</t>
        </is>
      </c>
      <c r="F46" s="2" t="inlineStr">
        <is>
          <t>Transição/Implantação</t>
        </is>
      </c>
      <c r="G46" s="2" t="inlineStr">
        <is>
          <t>Média–Alta</t>
        </is>
      </c>
      <c r="H46" s="2" t="inlineStr">
        <is>
          <t>Livre (ou Não aplicável)</t>
        </is>
      </c>
      <c r="I46" s="2" t="inlineStr">
        <is>
          <t>—</t>
        </is>
      </c>
      <c r="J46" s="2" t="inlineStr">
        <is>
          <t>Custo oculto</t>
        </is>
      </c>
      <c r="K46" s="2" t="inlineStr">
        <is>
          <t>Operação em paralelo sem custo adicional.</t>
        </is>
      </c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2" t="inlineStr">
        <is>
          <t>G46</t>
        </is>
      </c>
      <c r="B47" s="2" t="inlineStr"/>
      <c r="C47" s="2" t="inlineStr">
        <is>
          <t>Anexo I (Word)</t>
        </is>
      </c>
      <c r="D47" s="2" t="inlineStr">
        <is>
          <t>§5.1</t>
        </is>
      </c>
      <c r="E47" s="2" t="inlineStr">
        <is>
          <t>Requisito funcional / de serviço</t>
        </is>
      </c>
      <c r="F47" s="2" t="inlineStr">
        <is>
          <t>Pessoas/Equipe</t>
        </is>
      </c>
      <c r="G47" s="2" t="inlineStr">
        <is>
          <t>Média</t>
        </is>
      </c>
      <c r="H47" s="2" t="inlineStr">
        <is>
          <t>Livre (ou Não aplicável)</t>
        </is>
      </c>
      <c r="I47" s="2" t="inlineStr">
        <is>
          <t>—</t>
        </is>
      </c>
      <c r="J47" s="2" t="inlineStr">
        <is>
          <t>Equipe</t>
        </is>
      </c>
      <c r="K47" s="2" t="inlineStr">
        <is>
          <t>Coordenador CISSP dedicado exclusivamente.</t>
        </is>
      </c>
      <c r="L47" s="3" t="inlineStr"/>
      <c r="M47" s="3" t="inlineStr"/>
      <c r="N47" s="3" t="inlineStr"/>
      <c r="O47" s="3" t="inlineStr"/>
      <c r="P47" s="3" t="inlineStr"/>
      <c r="Q47" s="3" t="inlineStr"/>
    </row>
    <row r="48">
      <c r="A48" s="2" t="inlineStr">
        <is>
          <t>G47</t>
        </is>
      </c>
      <c r="B48" s="2" t="inlineStr">
        <is>
          <t>★</t>
        </is>
      </c>
      <c r="C48" s="2" t="inlineStr">
        <is>
          <t>Anexo I (Word)</t>
        </is>
      </c>
      <c r="D48" s="2" t="inlineStr">
        <is>
          <t>§5.2</t>
        </is>
      </c>
      <c r="E48" s="2" t="inlineStr">
        <is>
          <t>Restrição</t>
        </is>
      </c>
      <c r="F48" s="2" t="inlineStr">
        <is>
          <t>Pessoas/Equipe</t>
        </is>
      </c>
      <c r="G48" s="2" t="inlineStr">
        <is>
          <t>Média–Alta</t>
        </is>
      </c>
      <c r="H48" s="2" t="inlineStr">
        <is>
          <t>Livre (ou Não aplicável)</t>
        </is>
      </c>
      <c r="I48" s="2" t="inlineStr">
        <is>
          <t>Status: Alterado por G65</t>
        </is>
      </c>
      <c r="J48" s="2" t="inlineStr">
        <is>
          <t>Alteração por Q&amp;A</t>
        </is>
      </c>
      <c r="K48" s="2" t="inlineStr">
        <is>
          <t>Analistas N1 presenciais em São Paulo/SP.</t>
        </is>
      </c>
      <c r="L48" s="3" t="inlineStr"/>
      <c r="M48" s="3" t="inlineStr"/>
      <c r="N48" s="3" t="inlineStr"/>
      <c r="O48" s="3" t="inlineStr"/>
      <c r="P48" s="3" t="inlineStr"/>
      <c r="Q48" s="3" t="inlineStr"/>
    </row>
    <row r="49">
      <c r="A49" s="2" t="inlineStr">
        <is>
          <t>G48</t>
        </is>
      </c>
      <c r="B49" s="2" t="inlineStr"/>
      <c r="C49" s="2" t="inlineStr">
        <is>
          <t>Anexo I (Word)</t>
        </is>
      </c>
      <c r="D49" s="2" t="inlineStr">
        <is>
          <t>§6.1</t>
        </is>
      </c>
      <c r="E49" s="2" t="inlineStr">
        <is>
          <t>Responsabilidade / dependência do cliente</t>
        </is>
      </c>
      <c r="F49" s="2" t="inlineStr">
        <is>
          <t>Infraestrutura/Cloud</t>
        </is>
      </c>
      <c r="G49" s="2" t="inlineStr">
        <is>
          <t>Baixa–Média</t>
        </is>
      </c>
      <c r="H49" s="2" t="inlineStr">
        <is>
          <t>Livre (ou Não aplicável)</t>
        </is>
      </c>
      <c r="I49" s="2" t="inlineStr">
        <is>
          <t>—</t>
        </is>
      </c>
      <c r="J49" s="2" t="inlineStr">
        <is>
          <t>Dependência</t>
        </is>
      </c>
      <c r="K49" s="2" t="inlineStr">
        <is>
          <t>O cliente fornece a VPN.</t>
        </is>
      </c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2" t="inlineStr">
        <is>
          <t>G49</t>
        </is>
      </c>
      <c r="B50" s="2" t="inlineStr"/>
      <c r="C50" s="2" t="inlineStr">
        <is>
          <t>Anexo I (Word)</t>
        </is>
      </c>
      <c r="D50" s="2" t="inlineStr">
        <is>
          <t>§6.2</t>
        </is>
      </c>
      <c r="E50" s="2" t="inlineStr">
        <is>
          <t>Responsabilidade / dependência do cliente (+ Risco)</t>
        </is>
      </c>
      <c r="F50" s="2" t="inlineStr">
        <is>
          <t>Transição/Implantação</t>
        </is>
      </c>
      <c r="G50" s="2" t="inlineStr">
        <is>
          <t>Média–Alta</t>
        </is>
      </c>
      <c r="H50" s="2" t="inlineStr">
        <is>
          <t>Livre (ou Não aplicável)</t>
        </is>
      </c>
      <c r="I50" s="2" t="inlineStr">
        <is>
          <t>Relaciona-se a G08</t>
        </is>
      </c>
      <c r="J50" s="2" t="inlineStr">
        <is>
          <t>Dependência × prazo</t>
        </is>
      </c>
      <c r="K50" s="2" t="inlineStr">
        <is>
          <t>Documentação entregue em até 10 dias, dentro de uma transição de 30 dias.</t>
        </is>
      </c>
      <c r="L50" s="3" t="inlineStr"/>
      <c r="M50" s="3" t="inlineStr"/>
      <c r="N50" s="3" t="inlineStr"/>
      <c r="O50" s="3" t="inlineStr"/>
      <c r="P50" s="3" t="inlineStr"/>
      <c r="Q50" s="3" t="inlineStr"/>
    </row>
    <row r="51">
      <c r="A51" s="2" t="inlineStr">
        <is>
          <t>G50</t>
        </is>
      </c>
      <c r="B51" s="2" t="inlineStr">
        <is>
          <t>★</t>
        </is>
      </c>
      <c r="C51" s="2" t="inlineStr">
        <is>
          <t>Anexo I (Word)</t>
        </is>
      </c>
      <c r="D51" s="2" t="inlineStr">
        <is>
          <t>§1.2 / §1.3 (motivador)</t>
        </is>
      </c>
      <c r="E51" s="2" t="inlineStr">
        <is>
          <t>Requisito implícito (Inferida)</t>
        </is>
      </c>
      <c r="F51" s="2" t="inlineStr">
        <is>
          <t>Privacidade/Proteção de Dados</t>
        </is>
      </c>
      <c r="G51" s="2" t="inlineStr">
        <is>
          <t>Alta</t>
        </is>
      </c>
      <c r="H51" s="2" t="inlineStr">
        <is>
          <t>LGPD (Lei 13.709/2018) — operador (art. 39 ou a confirmar) · ISO/IEC 27701</t>
        </is>
      </c>
      <c r="I51" s="2" t="inlineStr">
        <is>
          <t>—</t>
        </is>
      </c>
      <c r="J51" s="2" t="inlineStr">
        <is>
          <t>Requisito implícito</t>
        </is>
      </c>
      <c r="K51" s="2" t="inlineStr">
        <is>
          <t>Os logs contêm dados pessoais, o que torna o proponente operador e exige DPA.</t>
        </is>
      </c>
      <c r="L51" s="3" t="inlineStr"/>
      <c r="M51" s="3" t="inlineStr"/>
      <c r="N51" s="3" t="inlineStr"/>
      <c r="O51" s="3" t="inlineStr"/>
      <c r="P51" s="3" t="inlineStr"/>
      <c r="Q51" s="3" t="inlineStr"/>
    </row>
    <row r="52">
      <c r="A52" s="2" t="inlineStr">
        <is>
          <t>G51</t>
        </is>
      </c>
      <c r="B52" s="2" t="inlineStr">
        <is>
          <t>★</t>
        </is>
      </c>
      <c r="C52" s="2" t="inlineStr">
        <is>
          <t>Anexo I (Word)</t>
        </is>
      </c>
      <c r="D52" s="2" t="inlineStr">
        <is>
          <t>§1.2 (motivador) + RFP §1.2</t>
        </is>
      </c>
      <c r="E52" s="2" t="inlineStr">
        <is>
          <t>Requisito implícito (Inferida)</t>
        </is>
      </c>
      <c r="F52" s="2" t="inlineStr">
        <is>
          <t>Regulatório/Compliance</t>
        </is>
      </c>
      <c r="G52" s="2" t="inlineStr">
        <is>
          <t>Alta</t>
        </is>
      </c>
      <c r="H52" s="2" t="inlineStr">
        <is>
          <t>Res. CMN 4.893/2021 (artigo a confirmar)</t>
        </is>
      </c>
      <c r="I52" s="2" t="inlineStr">
        <is>
          <t>Relaciona-se a G01, G32</t>
        </is>
      </c>
      <c r="J52" s="2" t="inlineStr">
        <is>
          <t>Uso correto do regime</t>
        </is>
      </c>
      <c r="K52" s="2" t="inlineStr">
        <is>
          <t>SIEM em nuvem exige atender às regras de contratação de nuvem da Res. 4.893.</t>
        </is>
      </c>
      <c r="L52" s="3" t="inlineStr"/>
      <c r="M52" s="3" t="inlineStr"/>
      <c r="N52" s="3" t="inlineStr"/>
      <c r="O52" s="3" t="inlineStr"/>
      <c r="P52" s="3" t="inlineStr"/>
      <c r="Q52" s="3" t="inlineStr"/>
    </row>
    <row r="53">
      <c r="A53" s="2" t="inlineStr">
        <is>
          <t>G52</t>
        </is>
      </c>
      <c r="B53" s="2" t="inlineStr"/>
      <c r="C53" s="2" t="inlineStr">
        <is>
          <t>Apresentação (PPT)</t>
        </is>
      </c>
      <c r="D53" s="2" t="inlineStr">
        <is>
          <t>slide 2 — "Números do ambiente"</t>
        </is>
      </c>
      <c r="E53" s="2" t="inlineStr">
        <is>
          <t>Dado de dimensionamento</t>
        </is>
      </c>
      <c r="F53" s="2" t="inlineStr">
        <is>
          <t>Infraestrutura/Cloud</t>
        </is>
      </c>
      <c r="G53" s="2" t="inlineStr">
        <is>
          <t>Média</t>
        </is>
      </c>
      <c r="H53" s="2" t="inlineStr">
        <is>
          <t>Livre (ou Não aplicável)</t>
        </is>
      </c>
      <c r="I53" s="2" t="inlineStr">
        <is>
          <t>Parte de G30</t>
        </is>
      </c>
      <c r="J53" s="2" t="inlineStr">
        <is>
          <t>Volumetria</t>
        </is>
      </c>
      <c r="K53" s="2" t="inlineStr">
        <is>
          <t>6.200 usuários, 850 servidores, 2 data centers, 2 nuvens.</t>
        </is>
      </c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2" t="inlineStr">
        <is>
          <t>G53</t>
        </is>
      </c>
      <c r="B54" s="2" t="inlineStr">
        <is>
          <t>★</t>
        </is>
      </c>
      <c r="C54" s="2" t="inlineStr">
        <is>
          <t>Apresentação (PPT)</t>
        </is>
      </c>
      <c r="D54" s="2" t="inlineStr">
        <is>
          <t>slide 3 — "Ferramentas atuais"</t>
        </is>
      </c>
      <c r="E54" s="2" t="inlineStr">
        <is>
          <t>Risco para o proponente (Inferida)</t>
        </is>
      </c>
      <c r="F54" s="2" t="inlineStr">
        <is>
          <t>Transição/Implantação</t>
        </is>
      </c>
      <c r="G54" s="2" t="inlineStr">
        <is>
          <t>Alta–Crítica</t>
        </is>
      </c>
      <c r="H54" s="2" t="inlineStr">
        <is>
          <t>Livre (ou Não aplicável)</t>
        </is>
      </c>
      <c r="I54" s="2" t="inlineStr">
        <is>
          <t>Relaciona-se a G07, G08</t>
        </is>
      </c>
      <c r="J54" s="2" t="inlineStr">
        <is>
          <t>Risco inferido por cruzamento</t>
        </is>
      </c>
      <c r="K54" s="2" t="inlineStr">
        <is>
          <t>SIEM legado termina em 31/01/2027 sem prorrogação; transição de 30/60 dias até o início em 01/02/2027.</t>
        </is>
      </c>
      <c r="L54" s="3" t="inlineStr"/>
      <c r="M54" s="3" t="inlineStr"/>
      <c r="N54" s="3" t="inlineStr"/>
      <c r="O54" s="3" t="inlineStr"/>
      <c r="P54" s="3" t="inlineStr"/>
      <c r="Q54" s="3" t="inlineStr"/>
    </row>
    <row r="55">
      <c r="A55" s="2" t="inlineStr">
        <is>
          <t>G54</t>
        </is>
      </c>
      <c r="B55" s="2" t="inlineStr"/>
      <c r="C55" s="2" t="inlineStr">
        <is>
          <t>Apresentação (PPT)</t>
        </is>
      </c>
      <c r="D55" s="2" t="inlineStr">
        <is>
          <t>slide 3 — "Ferramentas atuais"</t>
        </is>
      </c>
      <c r="E55" s="2" t="inlineStr">
        <is>
          <t>Dado de dimensionamento</t>
        </is>
      </c>
      <c r="F55" s="2" t="inlineStr">
        <is>
          <t>Segurança da Informação/Cyber</t>
        </is>
      </c>
      <c r="G55" s="2" t="inlineStr">
        <is>
          <t>Baixa–Média</t>
        </is>
      </c>
      <c r="H55" s="2" t="inlineStr">
        <is>
          <t>Livre (ou Não aplicável)</t>
        </is>
      </c>
      <c r="I55" s="2" t="inlineStr">
        <is>
          <t>—</t>
        </is>
      </c>
      <c r="J55" s="2" t="inlineStr">
        <is>
          <t>Ambiente atual</t>
        </is>
      </c>
      <c r="K55" s="2" t="inlineStr">
        <is>
          <t>IAM com AD + scripts; não há PAM.</t>
        </is>
      </c>
      <c r="L55" s="3" t="inlineStr"/>
      <c r="M55" s="3" t="inlineStr"/>
      <c r="N55" s="3" t="inlineStr"/>
      <c r="O55" s="3" t="inlineStr"/>
      <c r="P55" s="3" t="inlineStr"/>
      <c r="Q55" s="3" t="inlineStr"/>
    </row>
    <row r="56">
      <c r="A56" s="2" t="inlineStr">
        <is>
          <t>G55</t>
        </is>
      </c>
      <c r="B56" s="2" t="inlineStr"/>
      <c r="C56" s="2" t="inlineStr">
        <is>
          <t>Apresentação (PPT)</t>
        </is>
      </c>
      <c r="D56" s="2" t="inlineStr">
        <is>
          <t>slide 4 — "Desafios"</t>
        </is>
      </c>
      <c r="E56" s="2" t="inlineStr">
        <is>
          <t>Dado de dimensionamento</t>
        </is>
      </c>
      <c r="F56" s="2" t="inlineStr">
        <is>
          <t>Operação/Serviços</t>
        </is>
      </c>
      <c r="G56" s="2" t="inlineStr">
        <is>
          <t>Média</t>
        </is>
      </c>
      <c r="H56" s="2" t="inlineStr">
        <is>
          <t>Livre (ou Não aplicável)</t>
        </is>
      </c>
      <c r="I56" s="2" t="inlineStr">
        <is>
          <t>—</t>
        </is>
      </c>
      <c r="J56" s="2" t="inlineStr">
        <is>
          <t>Volumetria</t>
        </is>
      </c>
      <c r="K56" s="2" t="inlineStr">
        <is>
          <t>Cerca de 1.200 alertas/dia, com 70% de falsos positivos.</t>
        </is>
      </c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2" t="inlineStr">
        <is>
          <t>G56</t>
        </is>
      </c>
      <c r="B57" s="2" t="inlineStr"/>
      <c r="C57" s="2" t="inlineStr">
        <is>
          <t>Apresentação (PPT)</t>
        </is>
      </c>
      <c r="D57" s="2" t="inlineStr">
        <is>
          <t>slide 4 — "Desafios"</t>
        </is>
      </c>
      <c r="E57" s="2" t="inlineStr">
        <is>
          <t>Ambiguidade</t>
        </is>
      </c>
      <c r="F57" s="2" t="inlineStr">
        <is>
          <t>Operação/Serviços</t>
        </is>
      </c>
      <c r="G57" s="2" t="inlineStr">
        <is>
          <t>Média–Alta</t>
        </is>
      </c>
      <c r="H57" s="2" t="inlineStr">
        <is>
          <t>Livre (ou Não aplicável)</t>
        </is>
      </c>
      <c r="I57" s="2" t="inlineStr">
        <is>
          <t>—</t>
        </is>
      </c>
      <c r="J57" s="2" t="inlineStr">
        <is>
          <t>Meta fora do SLA</t>
        </is>
      </c>
      <c r="K57" s="2" t="inlineStr">
        <is>
          <t>Meta de 10% de falsos positivos no 1º trimestre: é obrigação? Não consta no Anexo I.</t>
        </is>
      </c>
      <c r="L57" s="3" t="inlineStr"/>
      <c r="M57" s="3" t="inlineStr"/>
      <c r="N57" s="3" t="inlineStr"/>
      <c r="O57" s="3" t="inlineStr"/>
      <c r="P57" s="3" t="inlineStr"/>
      <c r="Q57" s="3" t="inlineStr"/>
    </row>
    <row r="58">
      <c r="A58" s="2" t="inlineStr">
        <is>
          <t>G57</t>
        </is>
      </c>
      <c r="B58" s="2" t="inlineStr">
        <is>
          <t>★</t>
        </is>
      </c>
      <c r="C58" s="2" t="inlineStr">
        <is>
          <t>Apresentação (PPT)</t>
        </is>
      </c>
      <c r="D58" s="2" t="inlineStr">
        <is>
          <t>slide 5 — "Expectativas para o novo serviço"</t>
        </is>
      </c>
      <c r="E58" s="2" t="inlineStr">
        <is>
          <t>Requisito funcional / de serviço</t>
        </is>
      </c>
      <c r="F58" s="2" t="inlineStr">
        <is>
          <t>Transição/Implantação</t>
        </is>
      </c>
      <c r="G58" s="2" t="inlineStr">
        <is>
          <t>Alta</t>
        </is>
      </c>
      <c r="H58" s="2" t="inlineStr">
        <is>
          <t>Livre (ou Não aplicável)</t>
        </is>
      </c>
      <c r="I58" s="2" t="inlineStr">
        <is>
          <t>—</t>
        </is>
      </c>
      <c r="J58" s="2" t="inlineStr">
        <is>
          <t>Requisito escondido em apresentação</t>
        </is>
      </c>
      <c r="K58" s="2" t="inlineStr">
        <is>
          <t>Migrar 24 meses de logs históricos do SIEM legado.</t>
        </is>
      </c>
      <c r="L58" s="3" t="inlineStr"/>
      <c r="M58" s="3" t="inlineStr"/>
      <c r="N58" s="3" t="inlineStr"/>
      <c r="O58" s="3" t="inlineStr"/>
      <c r="P58" s="3" t="inlineStr"/>
      <c r="Q58" s="3" t="inlineStr"/>
    </row>
    <row r="59">
      <c r="A59" s="2" t="inlineStr">
        <is>
          <t>G58</t>
        </is>
      </c>
      <c r="B59" s="2" t="inlineStr">
        <is>
          <t>★</t>
        </is>
      </c>
      <c r="C59" s="2" t="inlineStr">
        <is>
          <t>Apresentação (PPT)</t>
        </is>
      </c>
      <c r="D59" s="2" t="inlineStr">
        <is>
          <t>slide 5 — notas do apresentador</t>
        </is>
      </c>
      <c r="E59" s="2" t="inlineStr">
        <is>
          <t>Contradição (ou Requisito de escopo)</t>
        </is>
      </c>
      <c r="F59" s="2" t="inlineStr">
        <is>
          <t>Comercial/Preço</t>
        </is>
      </c>
      <c r="G59" s="2" t="inlineStr">
        <is>
          <t>Alta–Crítica</t>
        </is>
      </c>
      <c r="H59" s="2" t="inlineStr">
        <is>
          <t>Livre (ou Não aplicável)</t>
        </is>
      </c>
      <c r="I59" s="2" t="inlineStr">
        <is>
          <t>Parte de G30</t>
        </is>
      </c>
      <c r="J59" s="2" t="inlineStr">
        <is>
          <t>Leitura de notas do slide</t>
        </is>
      </c>
      <c r="K59" s="2" t="inlineStr">
        <is>
          <t>Subsidiárias com cerca de 900 usuários adicionais incluídas no escopo.</t>
        </is>
      </c>
      <c r="L59" s="3" t="inlineStr"/>
      <c r="M59" s="3" t="inlineStr"/>
      <c r="N59" s="3" t="inlineStr"/>
      <c r="O59" s="3" t="inlineStr"/>
      <c r="P59" s="3" t="inlineStr"/>
      <c r="Q59" s="3" t="inlineStr"/>
    </row>
    <row r="60">
      <c r="A60" s="2" t="inlineStr">
        <is>
          <t>G59</t>
        </is>
      </c>
      <c r="B60" s="2" t="inlineStr">
        <is>
          <t>★</t>
        </is>
      </c>
      <c r="C60" s="2" t="inlineStr">
        <is>
          <t>Q&amp;A e Questionário (Excel)</t>
        </is>
      </c>
      <c r="D60" s="2" t="inlineStr">
        <is>
          <t>aba Instruções · A3</t>
        </is>
      </c>
      <c r="E60" s="2" t="inlineStr">
        <is>
          <t>Critério eliminatório / de habilitação</t>
        </is>
      </c>
      <c r="F60" s="2" t="inlineStr">
        <is>
          <t>Administrativo do processo</t>
        </is>
      </c>
      <c r="G60" s="2" t="inlineStr">
        <is>
          <t>Crítica</t>
        </is>
      </c>
      <c r="H60" s="2" t="inlineStr">
        <is>
          <t>Livre (ou Não aplicável)</t>
        </is>
      </c>
      <c r="I60" s="2" t="inlineStr">
        <is>
          <t>Relaciona-se a G67</t>
        </is>
      </c>
      <c r="J60" s="2" t="inlineStr">
        <is>
          <t>Critério eliminatório em planilha</t>
        </is>
      </c>
      <c r="K60" s="2" t="inlineStr">
        <is>
          <t>Questionário incompleto desclassifica, e todas as abas são obrigatórias.</t>
        </is>
      </c>
      <c r="L60" s="3" t="inlineStr"/>
      <c r="M60" s="3" t="inlineStr"/>
      <c r="N60" s="3" t="inlineStr"/>
      <c r="O60" s="3" t="inlineStr"/>
      <c r="P60" s="3" t="inlineStr"/>
      <c r="Q60" s="3" t="inlineStr"/>
    </row>
    <row r="61">
      <c r="A61" s="2" t="inlineStr">
        <is>
          <t>G60</t>
        </is>
      </c>
      <c r="B61" s="2" t="inlineStr">
        <is>
          <t>★</t>
        </is>
      </c>
      <c r="C61" s="2" t="inlineStr">
        <is>
          <t>Q&amp;A e Questionário (Excel)</t>
        </is>
      </c>
      <c r="D61" s="2" t="inlineStr">
        <is>
          <t>aba Q&amp;A Rodada 1 · nº 1 (linha 2)</t>
        </is>
      </c>
      <c r="E61" s="2" t="inlineStr">
        <is>
          <t>Prazo / marco</t>
        </is>
      </c>
      <c r="F61" s="2" t="inlineStr">
        <is>
          <t>Administrativo do processo</t>
        </is>
      </c>
      <c r="G61" s="2" t="inlineStr">
        <is>
          <t>Alta–Crítica</t>
        </is>
      </c>
      <c r="H61" s="2" t="inlineStr">
        <is>
          <t>Livre (ou Não aplicável)</t>
        </is>
      </c>
      <c r="I61" s="2" t="inlineStr">
        <is>
          <t>Altera G06</t>
        </is>
      </c>
      <c r="J61" s="2" t="inlineStr">
        <is>
          <t>Rastreio de alteração</t>
        </is>
      </c>
      <c r="K61" s="2" t="inlineStr">
        <is>
          <t>Entrega prorrogada para 27/11/2026, 18h.</t>
        </is>
      </c>
      <c r="L61" s="3" t="inlineStr"/>
      <c r="M61" s="3" t="inlineStr"/>
      <c r="N61" s="3" t="inlineStr"/>
      <c r="O61" s="3" t="inlineStr"/>
      <c r="P61" s="3" t="inlineStr"/>
      <c r="Q61" s="3" t="inlineStr"/>
    </row>
    <row r="62">
      <c r="A62" s="2" t="inlineStr">
        <is>
          <t>G61</t>
        </is>
      </c>
      <c r="B62" s="2" t="inlineStr"/>
      <c r="C62" s="2" t="inlineStr">
        <is>
          <t>Q&amp;A e Questionário (Excel)</t>
        </is>
      </c>
      <c r="D62" s="2" t="inlineStr">
        <is>
          <t>aba Q&amp;A Rodada 1 · nº 2 (linha 3)</t>
        </is>
      </c>
      <c r="E62" s="2" t="inlineStr">
        <is>
          <t>Critério eliminatório (confirmação)</t>
        </is>
      </c>
      <c r="F62" s="2" t="inlineStr">
        <is>
          <t>Regulatório/Compliance</t>
        </is>
      </c>
      <c r="G62" s="2" t="inlineStr">
        <is>
          <t>Crítica</t>
        </is>
      </c>
      <c r="H62" s="2" t="inlineStr">
        <is>
          <t>Livre (ou Não aplicável)</t>
        </is>
      </c>
      <c r="I62" s="2" t="inlineStr">
        <is>
          <t>Duplicado de / confirma G14</t>
        </is>
      </c>
      <c r="J62" s="2" t="inlineStr">
        <is>
          <t>Duplicidade</t>
        </is>
      </c>
      <c r="K62" s="2" t="inlineStr">
        <is>
          <t>O SOC não pode operar fora do Brasil.</t>
        </is>
      </c>
      <c r="L62" s="3" t="inlineStr"/>
      <c r="M62" s="3" t="inlineStr"/>
      <c r="N62" s="3" t="inlineStr"/>
      <c r="O62" s="3" t="inlineStr"/>
      <c r="P62" s="3" t="inlineStr"/>
      <c r="Q62" s="3" t="inlineStr"/>
    </row>
    <row r="63">
      <c r="A63" s="2" t="inlineStr">
        <is>
          <t>G62</t>
        </is>
      </c>
      <c r="B63" s="2" t="inlineStr"/>
      <c r="C63" s="2" t="inlineStr">
        <is>
          <t>Q&amp;A e Questionário (Excel)</t>
        </is>
      </c>
      <c r="D63" s="2" t="inlineStr">
        <is>
          <t>aba Q&amp;A Rodada 1 · nº 3 (linha 4)</t>
        </is>
      </c>
      <c r="E63" s="2" t="inlineStr">
        <is>
          <t>Lacuna (mantida)</t>
        </is>
      </c>
      <c r="F63" s="2" t="inlineStr">
        <is>
          <t>Comercial/Preço</t>
        </is>
      </c>
      <c r="G63" s="2" t="inlineStr">
        <is>
          <t>Crítica</t>
        </is>
      </c>
      <c r="H63" s="2" t="inlineStr">
        <is>
          <t>Livre (ou Não aplicável)</t>
        </is>
      </c>
      <c r="I63" s="2" t="inlineStr">
        <is>
          <t>Parte de G35</t>
        </is>
      </c>
      <c r="J63" s="2" t="inlineStr">
        <is>
          <t>Lacuna não resolvida</t>
        </is>
      </c>
      <c r="K63" s="2" t="inlineStr">
        <is>
          <t>O EPS só será informado ao vencedor.</t>
        </is>
      </c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2" t="inlineStr">
        <is>
          <t>G63</t>
        </is>
      </c>
      <c r="B64" s="2" t="inlineStr"/>
      <c r="C64" s="2" t="inlineStr">
        <is>
          <t>Q&amp;A e Questionário (Excel)</t>
        </is>
      </c>
      <c r="D64" s="2" t="inlineStr">
        <is>
          <t>aba Q&amp;A Rodada 1 · nº 4 (linha 5)</t>
        </is>
      </c>
      <c r="E64" s="2" t="inlineStr">
        <is>
          <t>Penalidade (confirmação)</t>
        </is>
      </c>
      <c r="F64" s="2" t="inlineStr">
        <is>
          <t>Jurídico/Contratual</t>
        </is>
      </c>
      <c r="G64" s="2" t="inlineStr">
        <is>
          <t>Crítica</t>
        </is>
      </c>
      <c r="H64" s="2" t="inlineStr">
        <is>
          <t>Livre (ou Não aplicável)</t>
        </is>
      </c>
      <c r="I64" s="2" t="inlineStr">
        <is>
          <t>Confirma G23</t>
        </is>
      </c>
      <c r="J64" s="2" t="inlineStr">
        <is>
          <t>Confirmação de risco</t>
        </is>
      </c>
      <c r="K64" s="2" t="inlineStr">
        <is>
          <t>As multas continuam sem teto.</t>
        </is>
      </c>
      <c r="L64" s="3" t="inlineStr"/>
      <c r="M64" s="3" t="inlineStr"/>
      <c r="N64" s="3" t="inlineStr"/>
      <c r="O64" s="3" t="inlineStr"/>
      <c r="P64" s="3" t="inlineStr"/>
      <c r="Q64" s="3" t="inlineStr"/>
    </row>
    <row r="65">
      <c r="A65" s="2" t="inlineStr">
        <is>
          <t>G64</t>
        </is>
      </c>
      <c r="B65" s="2" t="inlineStr">
        <is>
          <t>★</t>
        </is>
      </c>
      <c r="C65" s="2" t="inlineStr">
        <is>
          <t>Q&amp;A e Questionário (Excel)</t>
        </is>
      </c>
      <c r="D65" s="2" t="inlineStr">
        <is>
          <t>aba Q&amp;A Rodada 1 · nº 5 (linha 6)</t>
        </is>
      </c>
      <c r="E65" s="2" t="inlineStr">
        <is>
          <t>Contradição / Dado de dimensionamento</t>
        </is>
      </c>
      <c r="F65" s="2" t="inlineStr">
        <is>
          <t>Comercial/Preço</t>
        </is>
      </c>
      <c r="G65" s="2" t="inlineStr">
        <is>
          <t>Alta–Crítica</t>
        </is>
      </c>
      <c r="H65" s="2" t="inlineStr">
        <is>
          <t>Livre (ou Não aplicável)</t>
        </is>
      </c>
      <c r="I65" s="2" t="inlineStr">
        <is>
          <t>Parte de G30; depende de G02</t>
        </is>
      </c>
      <c r="J65" s="2" t="inlineStr">
        <is>
          <t>Precedência não presumida</t>
        </is>
      </c>
      <c r="K65" s="2" t="inlineStr">
        <is>
          <t>Considerar 5.000 usuários, um terceiro número diferente.</t>
        </is>
      </c>
      <c r="L65" s="3" t="inlineStr"/>
      <c r="M65" s="3" t="inlineStr"/>
      <c r="N65" s="3" t="inlineStr"/>
      <c r="O65" s="3" t="inlineStr"/>
      <c r="P65" s="3" t="inlineStr"/>
      <c r="Q65" s="3" t="inlineStr"/>
    </row>
    <row r="66">
      <c r="A66" s="2" t="inlineStr">
        <is>
          <t>G65</t>
        </is>
      </c>
      <c r="B66" s="2" t="inlineStr">
        <is>
          <t>★</t>
        </is>
      </c>
      <c r="C66" s="2" t="inlineStr">
        <is>
          <t>Q&amp;A e Questionário (Excel)</t>
        </is>
      </c>
      <c r="D66" s="2" t="inlineStr">
        <is>
          <t>aba Q&amp;A Rodada 1 · nº 6 (linha 7)</t>
        </is>
      </c>
      <c r="E66" s="2" t="inlineStr">
        <is>
          <t>Restrição (alteração)</t>
        </is>
      </c>
      <c r="F66" s="2" t="inlineStr">
        <is>
          <t>Pessoas/Equipe</t>
        </is>
      </c>
      <c r="G66" s="2" t="inlineStr">
        <is>
          <t>Média</t>
        </is>
      </c>
      <c r="H66" s="2" t="inlineStr">
        <is>
          <t>Livre (ou Não aplicável)</t>
        </is>
      </c>
      <c r="I66" s="2" t="inlineStr">
        <is>
          <t>Altera G47</t>
        </is>
      </c>
      <c r="J66" s="2" t="inlineStr">
        <is>
          <t>Rastreio de alteração</t>
        </is>
      </c>
      <c r="K66" s="2" t="inlineStr">
        <is>
          <t>N1 pode atuar remotamente, desde que no Brasil.</t>
        </is>
      </c>
      <c r="L66" s="3" t="inlineStr"/>
      <c r="M66" s="3" t="inlineStr"/>
      <c r="N66" s="3" t="inlineStr"/>
      <c r="O66" s="3" t="inlineStr"/>
      <c r="P66" s="3" t="inlineStr"/>
      <c r="Q66" s="3" t="inlineStr"/>
    </row>
    <row r="67">
      <c r="A67" s="2" t="inlineStr">
        <is>
          <t>G66</t>
        </is>
      </c>
      <c r="B67" s="2" t="inlineStr"/>
      <c r="C67" s="2" t="inlineStr">
        <is>
          <t>Q&amp;A e Questionário (Excel)</t>
        </is>
      </c>
      <c r="D67" s="2" t="inlineStr">
        <is>
          <t>aba Questionário Técnico · linhas 2–7 (QT-01 a QT-06)</t>
        </is>
      </c>
      <c r="E67" s="2" t="inlineStr">
        <is>
          <t>Requisito (um por QT)</t>
        </is>
      </c>
      <c r="F67" s="2" t="inlineStr">
        <is>
          <t>Variado</t>
        </is>
      </c>
      <c r="G67" s="2" t="inlineStr">
        <is>
          <t>Variado</t>
        </is>
      </c>
      <c r="H67" s="2" t="inlineStr">
        <is>
          <t>QT-01: ISO/IEC 27001:2022 · QT-04: Res. CMN 4.893/2021</t>
        </is>
      </c>
      <c r="I67" s="2" t="inlineStr">
        <is>
          <t>QT-03 ↔ G33; QT-06 ↔ G15</t>
        </is>
      </c>
      <c r="J67" s="2" t="inlineStr">
        <is>
          <t>Atomização em planilha</t>
        </is>
      </c>
      <c r="K67" s="2" t="inlineStr">
        <is>
          <t>Seis requisitos do questionário, cada um na sua linha.</t>
        </is>
      </c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2" t="inlineStr">
        <is>
          <t>G67</t>
        </is>
      </c>
      <c r="B68" s="2" t="inlineStr">
        <is>
          <t>★</t>
        </is>
      </c>
      <c r="C68" s="2" t="inlineStr">
        <is>
          <t>Q&amp;A e Questionário (Excel)</t>
        </is>
      </c>
      <c r="D68" s="2" t="inlineStr">
        <is>
          <t>aba Pesos (OCULTA)</t>
        </is>
      </c>
      <c r="E68" s="2" t="inlineStr">
        <is>
          <t>Registro de cobertura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Relaciona-se a G59</t>
        </is>
      </c>
      <c r="J68" s="2" t="inlineStr">
        <is>
          <t>Detecção de aba oculta</t>
        </is>
      </c>
      <c r="K68" s="2" t="inlineStr">
        <is>
          <t>Existe uma aba oculta, que precisa ser registrada e analisada.</t>
        </is>
      </c>
      <c r="L68" s="3" t="inlineStr"/>
      <c r="M68" s="3" t="inlineStr"/>
      <c r="N68" s="3" t="inlineStr"/>
      <c r="O68" s="3" t="inlineStr"/>
      <c r="P68" s="3" t="inlineStr"/>
      <c r="Q68" s="3" t="inlineStr"/>
    </row>
    <row r="69">
      <c r="A69" s="2" t="inlineStr">
        <is>
          <t>G68</t>
        </is>
      </c>
      <c r="B69" s="2" t="inlineStr">
        <is>
          <t>★</t>
        </is>
      </c>
      <c r="C69" s="2" t="inlineStr">
        <is>
          <t>Q&amp;A e Questionário (Excel)</t>
        </is>
      </c>
      <c r="D69" s="2" t="inlineStr">
        <is>
          <t>aba Pesos (OCULTA) · A2:B7 e A9</t>
        </is>
      </c>
      <c r="E69" s="2" t="inlineStr">
        <is>
          <t>Critério de avaliação / pontuação</t>
        </is>
      </c>
      <c r="F69" s="2" t="inlineStr">
        <is>
          <t>Administrativo do processo</t>
        </is>
      </c>
      <c r="G69" s="2" t="inlineStr">
        <is>
          <t>Alta</t>
        </is>
      </c>
      <c r="H69" s="2" t="inlineStr">
        <is>
          <t>Livre (ou Não aplicável)</t>
        </is>
      </c>
      <c r="I69" s="2" t="inlineStr">
        <is>
          <t>Relaciona-se a G16, G17</t>
        </is>
      </c>
      <c r="J69" s="2" t="inlineStr">
        <is>
          <t>Regra de pontuação escondida</t>
        </is>
      </c>
      <c r="K69" s="2" t="inlineStr">
        <is>
          <t>Pesos dos QTs; cada "Não atende" em item não obrigatório tira 2 pontos.</t>
        </is>
      </c>
      <c r="L69" s="3" t="inlineStr"/>
      <c r="M69" s="3" t="inlineStr"/>
      <c r="N69" s="3" t="inlineStr"/>
      <c r="O69" s="3" t="inlineStr"/>
      <c r="P69" s="3" t="inlineStr"/>
      <c r="Q69" s="3" t="inlineStr"/>
    </row>
  </sheetData>
  <autoFilter ref="A1:Q69"/>
  <dataValidations count="2">
    <dataValidation sqref="L2:L69" showDropDown="0" showInputMessage="0" showErrorMessage="0" allowBlank="1" type="list">
      <formula1>"S,N,Parcial"</formula1>
    </dataValidation>
    <dataValidation sqref="N2:N69 O2:O69 P2:P69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  <col width="14" customWidth="1" min="4" max="4"/>
    <col width="40" customWidth="1" min="5" max="5"/>
  </cols>
  <sheetData>
    <row r="1">
      <c r="A1" s="4" t="inlineStr">
        <is>
          <t>ID</t>
        </is>
      </c>
      <c r="B1" s="4" t="inlineStr">
        <is>
          <t>Verificação</t>
        </is>
      </c>
      <c r="C1" s="4" t="inlineStr">
        <is>
          <t>Capacidade</t>
        </is>
      </c>
      <c r="D1" s="4" t="inlineStr">
        <is>
          <t>Evitada? (S/N)</t>
        </is>
      </c>
      <c r="E1" s="4" t="inlineStr">
        <is>
          <t>Observações</t>
        </is>
      </c>
    </row>
    <row r="2">
      <c r="A2" s="2" t="inlineStr">
        <is>
          <t>A01</t>
        </is>
      </c>
      <c r="B2" s="2" t="inlineStr">
        <is>
          <t>O §1.1 do RFP (história institucional do Banco) NÃO deve virar item.</t>
        </is>
      </c>
      <c r="C2" s="2" t="inlineStr">
        <is>
          <t>Filtro de relevância</t>
        </is>
      </c>
      <c r="D2" s="3" t="inlineStr"/>
      <c r="E2" s="2" t="inlineStr"/>
    </row>
    <row r="3">
      <c r="A3" s="2" t="inlineStr">
        <is>
          <t>A02</t>
        </is>
      </c>
      <c r="B3" s="2" t="inlineStr">
        <is>
          <t>Nenhum item deve citar a Lei 14.133/2021: a contratação é privada.</t>
        </is>
      </c>
      <c r="C3" s="2" t="inlineStr">
        <is>
          <t>Regime</t>
        </is>
      </c>
      <c r="D3" s="3" t="inlineStr"/>
      <c r="E3" s="2" t="inlineStr"/>
    </row>
    <row r="4">
      <c r="A4" s="2" t="inlineStr">
        <is>
          <t>A03</t>
        </is>
      </c>
      <c r="B4" s="2" t="inlineStr">
        <is>
          <t>O número de usuários válido não pode ser escolhido sem registrar a falta de precedência (G02).</t>
        </is>
      </c>
      <c r="C4" s="2" t="inlineStr">
        <is>
          <t>Precedência</t>
        </is>
      </c>
      <c r="D4" s="3" t="inlineStr"/>
      <c r="E4" s="2" t="inlineStr"/>
    </row>
    <row r="5">
      <c r="A5" s="2" t="inlineStr">
        <is>
          <t>A04</t>
        </is>
      </c>
      <c r="B5" s="2" t="inlineStr">
        <is>
          <t>Nenhum controle ISO no formato da versão 2013 (ex.: A.9.2.x, A.12.4.x) e nenhum identificador inventado.</t>
        </is>
      </c>
      <c r="C5" s="2" t="inlineStr">
        <is>
          <t>Frameworks</t>
        </is>
      </c>
      <c r="D5" s="3" t="inlineStr"/>
      <c r="E5" s="2" t="inlineStr"/>
    </row>
    <row r="6">
      <c r="A6" s="2" t="inlineStr">
        <is>
          <t>A05</t>
        </is>
      </c>
      <c r="B6" s="2" t="inlineStr">
        <is>
          <t>Páginas do PDF informadas como página física, com a impressa entre parênteses (física = impressa + 1).</t>
        </is>
      </c>
      <c r="C6" s="2" t="inlineStr">
        <is>
          <t>Localizador</t>
        </is>
      </c>
      <c r="D6" s="3" t="inlineStr"/>
      <c r="E6" s="2" t="inlineStr"/>
    </row>
    <row r="7">
      <c r="A7" s="2" t="inlineStr">
        <is>
          <t>A06</t>
        </is>
      </c>
      <c r="B7" s="2" t="inlineStr">
        <is>
          <t>O conteúdo do Anexo IV (não fornecido) não pode ser inventado.</t>
        </is>
      </c>
      <c r="C7" s="2" t="inlineStr">
        <is>
          <t>Alucinação</t>
        </is>
      </c>
      <c r="D7" s="3" t="inlineStr"/>
      <c r="E7" s="2" t="inlineStr"/>
    </row>
    <row r="8">
      <c r="A8" s="2" t="inlineStr">
        <is>
          <t>A07</t>
        </is>
      </c>
      <c r="B8" s="2" t="inlineStr">
        <is>
          <t>O §7.5 (responsabilidade ilimitada) não pode ficar abaixo de Alta.</t>
        </is>
      </c>
      <c r="C8" s="2" t="inlineStr">
        <is>
          <t>Regra da Severidade 5</t>
        </is>
      </c>
      <c r="D8" s="3" t="inlineStr"/>
      <c r="E8" s="2" t="inlineStr"/>
    </row>
    <row r="9">
      <c r="A9" s="2" t="inlineStr">
        <is>
          <t>A08</t>
        </is>
      </c>
      <c r="B9" s="2" t="inlineStr">
        <is>
          <t>Toda Probabilidade diferente de 3 deve vir justificada na Descrição analítica.</t>
        </is>
      </c>
      <c r="C9" s="2" t="inlineStr">
        <is>
          <t>Matriz</t>
        </is>
      </c>
      <c r="D9" s="3" t="inlineStr"/>
      <c r="E9" s="2" t="inlineStr"/>
    </row>
    <row r="10">
      <c r="A10" s="2" t="inlineStr">
        <is>
          <t>A09</t>
        </is>
      </c>
      <c r="B10" s="2" t="inlineStr">
        <is>
          <t>Páginas do Word, se informadas, marcadas como "aprox.".</t>
        </is>
      </c>
      <c r="C10" s="2" t="inlineStr">
        <is>
          <t>Localizador</t>
        </is>
      </c>
      <c r="D10" s="3" t="inlineStr"/>
      <c r="E10" s="2" t="inlineStr"/>
    </row>
    <row r="11">
      <c r="A11" s="2" t="inlineStr">
        <is>
          <t>A10</t>
        </is>
      </c>
      <c r="B11" s="2" t="inlineStr">
        <is>
          <t>Cada resposta tem somente: linha de abertura, tabela (até 30 linhas) e bloco de status. Nenhum outro texto.</t>
        </is>
      </c>
      <c r="C11" s="2" t="inlineStr">
        <is>
          <t>Formato</t>
        </is>
      </c>
      <c r="D11" s="3" t="inlineStr"/>
      <c r="E11" s="2" t="inlineStr"/>
    </row>
    <row r="12">
      <c r="A12" s="2" t="inlineStr">
        <is>
          <t>A13</t>
        </is>
      </c>
      <c r="B12" s="2" t="inlineStr">
        <is>
          <t>Toda parte intermediária termina com ⏸ e 'Envie continuar'; ✅ aparece só na última, com totais de documentos, itens e último ID corretos.</t>
        </is>
      </c>
      <c r="C12" s="2" t="inlineStr">
        <is>
          <t>Status e continuação</t>
        </is>
      </c>
      <c r="D12" s="3" t="inlineStr"/>
      <c r="E12" s="2" t="inlineStr"/>
    </row>
    <row r="13">
      <c r="A13" s="2" t="inlineStr">
        <is>
          <t>A11</t>
        </is>
      </c>
      <c r="B13" s="2" t="inlineStr">
        <is>
          <t>A página escaneada (p. 6) deve ser lida por OCR ou registrada como 'possível conteúdo em imagem não lido — requer OCR'; nunca descrita como em branco.</t>
        </is>
      </c>
      <c r="C13" s="2" t="inlineStr">
        <is>
          <t>Cobertura</t>
        </is>
      </c>
      <c r="D13" s="3" t="inlineStr"/>
      <c r="E13" s="2" t="inlineStr"/>
    </row>
    <row r="14">
      <c r="A14" s="2" t="inlineStr">
        <is>
          <t>A12</t>
        </is>
      </c>
      <c r="B14" s="2" t="inlineStr">
        <is>
          <t>A persona não deve avaliar se "o proponente atende": ela não conhece a empresa.</t>
        </is>
      </c>
      <c r="C14" s="2" t="inlineStr">
        <is>
          <t>Escopo</t>
        </is>
      </c>
      <c r="D14" s="3" t="inlineStr"/>
      <c r="E14" s="2" t="inlineStr"/>
    </row>
  </sheetData>
  <dataValidations count="1">
    <dataValidation sqref="D2:D14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</cols>
  <sheetData>
    <row r="1">
      <c r="A1" s="4" t="inlineStr">
        <is>
          <t>Métrica</t>
        </is>
      </c>
      <c r="B1" s="4" t="inlineStr">
        <is>
          <t>Resultado</t>
        </is>
      </c>
      <c r="C1" s="4" t="inlineStr">
        <is>
          <t>Meta</t>
        </is>
      </c>
    </row>
    <row r="2">
      <c r="A2" t="inlineStr">
        <is>
          <t>Cobertura dos itens essenciais (★)</t>
        </is>
      </c>
      <c r="B2" s="5">
        <f>IFERROR((COUNTIFS('Avaliação'!B2:B69,"★",'Avaliação'!L2:L69,"S")+COUNTIFS('Avaliação'!B2:B69,"★",'Avaliação'!L2:L69,"Parcial"))/COUNTIF('Avaliação'!B2:B69,"★"),0)</f>
        <v/>
      </c>
      <c r="C2" t="inlineStr">
        <is>
          <t>100%</t>
        </is>
      </c>
    </row>
    <row r="3">
      <c r="A3" t="inlineStr">
        <is>
          <t>Cobertura geral</t>
        </is>
      </c>
      <c r="B3" s="5">
        <f>IFERROR((COUNTIF('Avaliação'!L2:L69,"S")+COUNTIF('Avaliação'!L2:L69,"Parcial"))/68,0)</f>
        <v/>
      </c>
      <c r="C3" t="inlineStr">
        <is>
          <t>≥ 85%</t>
        </is>
      </c>
    </row>
    <row r="4">
      <c r="A4" t="inlineStr">
        <is>
          <t>Localizador correto</t>
        </is>
      </c>
      <c r="B4" s="5">
        <f>IFERROR(COUNTIF('Avaliação'!N2:N69,"S")/(COUNTIF('Avaliação'!L2:L69,"S")+COUNTIF('Avaliação'!L2:L69,"Parcial")),0)</f>
        <v/>
      </c>
      <c r="C4" t="inlineStr">
        <is>
          <t>≥ 95%</t>
        </is>
      </c>
    </row>
    <row r="5">
      <c r="A5" t="inlineStr">
        <is>
          <t>Tipo de item coerente</t>
        </is>
      </c>
      <c r="B5" s="5">
        <f>IFERROR(COUNTIF('Avaliação'!O2:O69,"S")/(COUNTIF('Avaliação'!L2:L69,"S")+COUNTIF('Avaliação'!L2:L69,"Parcial")),0)</f>
        <v/>
      </c>
      <c r="C5" t="inlineStr">
        <is>
          <t>≥ 80%</t>
        </is>
      </c>
    </row>
    <row r="6">
      <c r="A6" t="inlineStr">
        <is>
          <t>Criticidade na faixa esperada</t>
        </is>
      </c>
      <c r="B6" s="5">
        <f>IFERROR(COUNTIF('Avaliação'!P2:P69,"S")/(COUNTIF('Avaliação'!L2:L69,"S")+COUNTIF('Avaliação'!L2:L69,"Parcial")),0)</f>
        <v/>
      </c>
      <c r="C6" t="inlineStr">
        <is>
          <t>≥ 80%</t>
        </is>
      </c>
    </row>
    <row r="7">
      <c r="A7" t="inlineStr">
        <is>
          <t>Armadilhas evitadas</t>
        </is>
      </c>
      <c r="B7" s="5">
        <f>IFERROR(COUNTIF(Armadilhas!D2:D14,"S")/13,0)</f>
        <v/>
      </c>
      <c r="C7" t="inlineStr">
        <is>
          <t>100%</t>
        </is>
      </c>
    </row>
    <row r="8">
      <c r="A8" t="inlineStr">
        <is>
          <t>Citações literais conferidas (preencher: x de 10)</t>
        </is>
      </c>
      <c r="B8" s="6" t="inlineStr"/>
      <c r="C8" t="inlineStr">
        <is>
          <t>10 de 10</t>
        </is>
      </c>
    </row>
    <row r="9">
      <c r="A9" t="inlineStr">
        <is>
          <t>Identificadores inventados ou de versão errada (preencher)</t>
        </is>
      </c>
      <c r="B9" s="6" t="inlineStr"/>
      <c r="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2026-10-18T02:08:47Z</dcterms:created>
  <dcterms:modified xmlns:dcterms="http://purl.org/dc/terms/" xmlns:xsi="http://www.w3.org/2001/XMLSchema-instance" xsi:type="dcterms:W3CDTF">2026-10-18T02:08:47Z</dcterms:modified>
</cp:coreProperties>
</file>