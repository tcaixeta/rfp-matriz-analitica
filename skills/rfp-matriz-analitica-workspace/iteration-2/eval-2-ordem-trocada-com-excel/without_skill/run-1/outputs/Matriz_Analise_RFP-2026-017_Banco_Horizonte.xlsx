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Matriz" sheetId="3" state="visible" r:id="rId3"/>
    <sheet xmlns:r="http://schemas.openxmlformats.org/officeDocument/2006/relationships" name="Jurídico" sheetId="4" state="visible" r:id="rId4"/>
    <sheet xmlns:r="http://schemas.openxmlformats.org/officeDocument/2006/relationships" name="Pricing" sheetId="5" state="visible" r:id="rId5"/>
    <sheet xmlns:r="http://schemas.openxmlformats.org/officeDocument/2006/relationships" name="Conflitos" sheetId="6" state="visible" r:id="rId6"/>
    <sheet xmlns:r="http://schemas.openxmlformats.org/officeDocument/2006/relationships" name="Esclarecimentos" sheetId="7" state="visible" r:id="rId7"/>
    <sheet xmlns:r="http://schemas.openxmlformats.org/officeDocument/2006/relationships" name="Cronograma" sheetId="8" state="visible" r:id="rId8"/>
    <sheet xmlns:r="http://schemas.openxmlformats.org/officeDocument/2006/relationships" name="Pontuação" sheetId="9" state="visible" r:id="rId9"/>
    <sheet xmlns:r="http://schemas.openxmlformats.org/officeDocument/2006/relationships" name="Questionári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FFFFFF"/>
    </font>
    <font>
      <b val="1"/>
      <color rgb="001F3864"/>
      <sz val="13"/>
    </font>
    <font>
      <b val="1"/>
      <color rgb="00C00000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0" fillId="6" borderId="1" pivotButton="0" quotePrefix="0" xfId="0"/>
    <xf numFmtId="0" fontId="0" fillId="6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abDocs" displayName="TabDocs" ref="A14:F18" headerRowCount="1">
  <autoFilter ref="A14:F18"/>
  <tableColumns count="6">
    <tableColumn id="1" name="Ordem recebida"/>
    <tableColumn id="2" name="Arquivo"/>
    <tableColumn id="3" name="Documento"/>
    <tableColumn id="4" name="Natureza"/>
    <tableColumn id="5" name="Data"/>
    <tableColumn id="6" name="Observações"/>
  </tableColumns>
  <tableStyleInfo name="TableStyleLight1" showRowStripes="0"/>
</table>
</file>

<file path=xl/tables/table2.xml><?xml version="1.0" encoding="utf-8"?>
<table xmlns="http://schemas.openxmlformats.org/spreadsheetml/2006/main" id="2" name="TabTop" displayName="TabTop" ref="A3:C13" headerRowCount="1">
  <autoFilter ref="A3:C13"/>
  <tableColumns count="3">
    <tableColumn id="1" name="#"/>
    <tableColumn id="2" name="Ref. matriz"/>
    <tableColumn id="3" name="Ponto"/>
  </tableColumns>
  <tableStyleInfo name="TableStyleLight1" showRowStripes="0"/>
</table>
</file>

<file path=xl/tables/table3.xml><?xml version="1.0" encoding="utf-8"?>
<table xmlns="http://schemas.openxmlformats.org/spreadsheetml/2006/main" id="3" name="TabMatriz" displayName="TabMatriz" ref="A1:S58" headerRowCount="1">
  <autoFilter ref="A1:S58"/>
  <tableColumns count="19">
    <tableColumn id="1" name="ID"/>
    <tableColumn id="2" name="Categoria"/>
    <tableColumn id="3" name="Tema"/>
    <tableColumn id="4" name="Fonte principal"/>
    <tableColumn id="5" name="Outras fontes"/>
    <tableColumn id="6" name="Requisito / conteúdo (resumo)"/>
    <tableColumn id="7" name="Tipo"/>
    <tableColumn id="8" name="Posição vigente (após Q&amp;A)"/>
    <tableColumn id="9" name="Conflito / ambiguidade"/>
    <tableColumn id="10" name="Risco"/>
    <tableColumn id="11" name="Impacto Pricing"/>
    <tableColumn id="12" name="Impacto Jurídico"/>
    <tableColumn id="13" name="Área responsável"/>
    <tableColumn id="14" name="Análise"/>
    <tableColumn id="15" name="Ação recomendada"/>
    <tableColumn id="16" name="Pergunta (ref.)"/>
    <tableColumn id="17" name="Status interno"/>
    <tableColumn id="18" name="Responsável"/>
    <tableColumn id="19" name="Comentários das áreas"/>
  </tableColumns>
  <tableStyleInfo name="TableStyleLight1" showRowStripes="0"/>
</table>
</file>

<file path=xl/tables/table4.xml><?xml version="1.0" encoding="utf-8"?>
<table xmlns="http://schemas.openxmlformats.org/spreadsheetml/2006/main" id="4" name="TabJuridico" displayName="TabJuridico" ref="A1:L35" headerRowCount="1">
  <autoFilter ref="A1:L35"/>
  <tableColumns count="12">
    <tableColumn id="1" name="ID"/>
    <tableColumn id="2" name="Categoria"/>
    <tableColumn id="3" name="Tema"/>
    <tableColumn id="4" name="Fonte principal"/>
    <tableColumn id="5" name="Outras fontes"/>
    <tableColumn id="6" name="Requisito / conteúdo (resumo)"/>
    <tableColumn id="7" name="Posição vigente (após Q&amp;A)"/>
    <tableColumn id="8" name="Conflito / ambiguidade"/>
    <tableColumn id="9" name="Risco"/>
    <tableColumn id="10" name="Análise"/>
    <tableColumn id="11" name="Ação recomendada"/>
    <tableColumn id="12" name="Pergunta (ref.)"/>
  </tableColumns>
  <tableStyleInfo name="TableStyleLight1" showRowStripes="0"/>
</table>
</file>

<file path=xl/tables/table5.xml><?xml version="1.0" encoding="utf-8"?>
<table xmlns="http://schemas.openxmlformats.org/spreadsheetml/2006/main" id="5" name="TabPricing" displayName="TabPricing" ref="A1:L40" headerRowCount="1">
  <autoFilter ref="A1:L40"/>
  <tableColumns count="12">
    <tableColumn id="1" name="ID"/>
    <tableColumn id="2" name="Categoria"/>
    <tableColumn id="3" name="Tema"/>
    <tableColumn id="4" name="Fonte principal"/>
    <tableColumn id="5" name="Outras fontes"/>
    <tableColumn id="6" name="Requisito / conteúdo (resumo)"/>
    <tableColumn id="7" name="Posição vigente (após Q&amp;A)"/>
    <tableColumn id="8" name="Conflito / ambiguidade"/>
    <tableColumn id="9" name="Risco"/>
    <tableColumn id="10" name="Análise"/>
    <tableColumn id="11" name="Ação recomendada"/>
    <tableColumn id="12" name="Pergunta (ref.)"/>
  </tableColumns>
  <tableStyleInfo name="TableStyleLight1" showRowStripes="0"/>
</table>
</file>

<file path=xl/tables/table6.xml><?xml version="1.0" encoding="utf-8"?>
<table xmlns="http://schemas.openxmlformats.org/spreadsheetml/2006/main" id="6" name="TabConflitos" displayName="TabConflitos" ref="A1:I11" headerRowCount="1">
  <autoFilter ref="A1:I11"/>
  <tableColumns count="9">
    <tableColumn id="1" name="ID"/>
    <tableColumn id="2" name="Tema"/>
    <tableColumn id="3" name="Fonte A"/>
    <tableColumn id="4" name="Fonte B"/>
    <tableColumn id="5" name="Fonte C / contexto"/>
    <tableColumn id="6" name="Posição recomendada"/>
    <tableColumn id="7" name="Gravidade"/>
    <tableColumn id="8" name="Ref. matriz"/>
    <tableColumn id="9" name="Pergunta"/>
  </tableColumns>
  <tableStyleInfo name="TableStyleLight1" showRowStripes="0"/>
</table>
</file>

<file path=xl/tables/table7.xml><?xml version="1.0" encoding="utf-8"?>
<table xmlns="http://schemas.openxmlformats.org/spreadsheetml/2006/main" id="7" name="TabPerguntas" displayName="TabPerguntas" ref="A1:H18" headerRowCount="1">
  <autoFilter ref="A1:H18"/>
  <tableColumns count="8">
    <tableColumn id="1" name="ID"/>
    <tableColumn id="2" name="Referência (documento/item)"/>
    <tableColumn id="3" name="Pergunta proposta (texto para envio)"/>
    <tableColumn id="4" name="Justificativa interna"/>
    <tableColumn id="5" name="Prioridade"/>
    <tableColumn id="6" name="Área"/>
    <tableColumn id="7" name="Status"/>
    <tableColumn id="8" name="Resposta do banco"/>
  </tableColumns>
  <tableStyleInfo name="TableStyleLight1" showRowStripes="0"/>
</table>
</file>

<file path=xl/tables/table8.xml><?xml version="1.0" encoding="utf-8"?>
<table xmlns="http://schemas.openxmlformats.org/spreadsheetml/2006/main" id="8" name="TabCrono" displayName="TabCrono" ref="A1:D15" headerRowCount="1">
  <autoFilter ref="A1:D15"/>
  <tableColumns count="4">
    <tableColumn id="1" name="Data"/>
    <tableColumn id="2" name="Evento"/>
    <tableColumn id="3" name="Fonte"/>
    <tableColumn id="4" name="Observação"/>
  </tableColumns>
  <tableStyleInfo name="TableStyleLight1" showRowStripes="0"/>
</table>
</file>

<file path=xl/tables/table9.xml><?xml version="1.0" encoding="utf-8"?>
<table xmlns="http://schemas.openxmlformats.org/spreadsheetml/2006/main" id="9" name="TabQuest" displayName="TabQuest" ref="A1:H7" headerRowCount="1">
  <autoFilter ref="A1:H7"/>
  <tableColumns count="8">
    <tableColumn id="1" name="ID"/>
    <tableColumn id="2" name="Requisito"/>
    <tableColumn id="3" name="Obrigatório"/>
    <tableColumn id="4" name="Peso (aba oculta)"/>
    <tableColumn id="5" name="Penalidade oculta"/>
    <tableColumn id="6" name="Resposta recomendada"/>
    <tableColumn id="7" name="Justificativa"/>
    <tableColumn id="8" name="Ref. matriz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zoomScale="90" workbookViewId="0"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40" customWidth="1" min="3" max="3"/>
    <col width="45" customWidth="1" min="4" max="4"/>
    <col width="12" customWidth="1" min="5" max="5"/>
    <col width="70" customWidth="1" min="6" max="6"/>
  </cols>
  <sheetData>
    <row r="1">
      <c r="A1" s="1" t="inlineStr">
        <is>
          <t>Matriz de Análise — RFP nº 2026-017 — Banco Horizonte Fictício S.A. — SOC 24x7 + IAM</t>
        </is>
      </c>
    </row>
    <row r="2">
      <c r="A2" t="inlineStr">
        <is>
          <t>Data da análise: 18/10/2026 · Entrega das propostas: 27/11/2026 até 18h (prorrogada pelo Q&amp;A #1) · Perguntas até 05/11/2026</t>
        </is>
      </c>
    </row>
    <row r="3">
      <c r="A3" t="inlineStr">
        <is>
          <t>DOCUMENTOS DE ORIGEM FICTÍCIOS PARA TESTE.</t>
        </is>
      </c>
    </row>
    <row r="5">
      <c r="A5" s="2" t="inlineStr">
        <is>
          <t>Como usar</t>
        </is>
      </c>
    </row>
    <row r="6">
      <c r="A6" t="inlineStr">
        <is>
          <t>• 'Matriz': todos os itens analisados, com filtros. Para o JURÍDICO, filtrar 'Impacto Jurídico' = Sim. Para o PRICING, filtrar 'Impacto Pricing' = Sim. As abas 'Jurídico' e 'Pricing' já trazem esses recortes prontos.</t>
        </is>
      </c>
    </row>
    <row r="7">
      <c r="A7" t="inlineStr">
        <is>
          <t>• 'Conflitos': divergências entre documentos e a posição adotada.</t>
        </is>
      </c>
    </row>
    <row r="8">
      <c r="A8" t="inlineStr">
        <is>
          <t>• 'Esclarecimentos': perguntas prontas para enviar até 05/11/2026 (colunas 'Status' e 'Resposta do banco' para acompanhamento).</t>
        </is>
      </c>
    </row>
    <row r="9">
      <c r="A9" t="inlineStr">
        <is>
          <t>• 'Pontuação' e 'Questionário': simulação da nota técnica e recomendação de resposta para QT-01 a QT-06.</t>
        </is>
      </c>
    </row>
    <row r="10">
      <c r="A10" t="inlineStr">
        <is>
          <t>• 'Cronograma': marcos oficiais e datas derivadas.</t>
        </is>
      </c>
    </row>
    <row r="11">
      <c r="A11" t="inlineStr">
        <is>
          <t>• A coluna 'Status interno' da Matriz está livre para uso das áreas (lista: Aberto / Em análise / Resolvido / Aceito como risco).</t>
        </is>
      </c>
    </row>
    <row r="13">
      <c r="A13" s="2" t="inlineStr">
        <is>
          <t>Documentos recebidos (na ordem enviada) e hierarquia adotada</t>
        </is>
      </c>
    </row>
    <row r="14">
      <c r="A14" s="3" t="inlineStr">
        <is>
          <t>Ordem recebida</t>
        </is>
      </c>
      <c r="B14" s="3" t="inlineStr">
        <is>
          <t>Arquivo</t>
        </is>
      </c>
      <c r="C14" s="3" t="inlineStr">
        <is>
          <t>Documento</t>
        </is>
      </c>
      <c r="D14" s="3" t="inlineStr">
        <is>
          <t>Natureza</t>
        </is>
      </c>
      <c r="E14" s="3" t="inlineStr">
        <is>
          <t>Data</t>
        </is>
      </c>
      <c r="F14" s="3" t="inlineStr">
        <is>
          <t>Observações</t>
        </is>
      </c>
    </row>
    <row r="15">
      <c r="A15" s="4" t="n">
        <v>1</v>
      </c>
      <c r="B15" s="4" t="inlineStr">
        <is>
          <t>QA_Rodada1_e_Questionario.xlsx</t>
        </is>
      </c>
      <c r="C15" s="4" t="inlineStr">
        <is>
          <t>Q&amp;A Rodada 1 + Questionário Técnico</t>
        </is>
      </c>
      <c r="D15" s="4" t="inlineStr">
        <is>
          <t>Esclarecimentos oficiais (altera o RFP) + formulário a devolver preenchido</t>
        </is>
      </c>
      <c r="E15" s="4" t="inlineStr">
        <is>
          <t>12/11/2026</t>
        </is>
      </c>
      <c r="F15" s="4" t="inlineStr">
        <is>
          <t>4 abas: Instruções, Q&amp;A Rodada 1 (6 respostas), Questionário Técnico (QT-01 a QT-06) e 'Pesos' (aba OCULTA, com pesos e regra de penalidade).</t>
        </is>
      </c>
    </row>
    <row r="16">
      <c r="A16" s="4" t="n">
        <v>2</v>
      </c>
      <c r="B16" s="4" t="inlineStr">
        <is>
          <t>Apresentacao_Ambiente_Atual.pptx</t>
        </is>
      </c>
      <c r="C16" s="4" t="inlineStr">
        <is>
          <t>Apresentação do workshop (ambiente atual)</t>
        </is>
      </c>
      <c r="D16" s="4" t="inlineStr">
        <is>
          <t>Material informativo do workshop de 22/10/2026 (não é documento normativo)</t>
        </is>
      </c>
      <c r="E16" s="4" t="inlineStr">
        <is>
          <t>22/10/2026</t>
        </is>
      </c>
      <c r="F16" s="4" t="inlineStr">
        <is>
          <t>5 slides; o slide 5 tem nota do apresentador incluindo subsidiárias no escopo.</t>
        </is>
      </c>
    </row>
    <row r="17">
      <c r="A17" s="4" t="n">
        <v>3</v>
      </c>
      <c r="B17" s="4" t="inlineStr">
        <is>
          <t>Anexo_I_Especificacao_Tecnica.docx</t>
        </is>
      </c>
      <c r="C17" s="4" t="inlineStr">
        <is>
          <t>Anexo I — Especificação Técnica</t>
        </is>
      </c>
      <c r="D17" s="4" t="inlineStr">
        <is>
          <t>Anexo normativo do RFP</t>
        </is>
      </c>
      <c r="E17" s="4" t="inlineStr">
        <is>
          <t>15/10/2026</t>
        </is>
      </c>
      <c r="F17" s="4" t="inlineStr">
        <is>
          <t>6 seções: SOC, SLA, IAM, Transição, Equipe, Responsabilidades do Contratante.</t>
        </is>
      </c>
    </row>
    <row r="18">
      <c r="A18" s="4" t="n">
        <v>4</v>
      </c>
      <c r="B18" s="4" t="inlineStr">
        <is>
          <t>RFP-2026-017_Servicos_SOC_IAM.pdf</t>
        </is>
      </c>
      <c r="C18" s="4" t="inlineStr">
        <is>
          <t>RFP nº 2026-017 v1.0 (documento principal)</t>
        </is>
      </c>
      <c r="D18" s="4" t="inlineStr">
        <is>
          <t>Documento principal</t>
        </is>
      </c>
      <c r="E18" s="4" t="inlineStr">
        <is>
          <t>15/10/2026</t>
        </is>
      </c>
      <c r="F18" s="4" t="inlineStr">
        <is>
          <t>6 páginas. A página 6 (Anexo III — Declaração de Localização de Dados) é imagem escaneada, sem texto pesquisável: transcrita por leitura visual.</t>
        </is>
      </c>
    </row>
    <row r="20">
      <c r="A20" s="2" t="inlineStr">
        <is>
          <t>Hierarquia adotada (o RFP não define precedência; ver CT-09 / PE-01)</t>
        </is>
      </c>
    </row>
    <row r="21">
      <c r="A21" t="inlineStr">
        <is>
          <t>1. Q&amp;A Rodada 1 (12/11/2026): mais recente; prevalece sobre o que alterar expressamente.</t>
        </is>
      </c>
    </row>
    <row r="22">
      <c r="A22" t="inlineStr">
        <is>
          <t>2. RFP nº 2026-017 (corpo principal) e seus anexos com caráter de formulário (Anexo III).</t>
        </is>
      </c>
    </row>
    <row r="23">
      <c r="A23" t="inlineStr">
        <is>
          <t>3. Anexo I — Especificação Técnica.</t>
        </is>
      </c>
    </row>
    <row r="24">
      <c r="A24" t="inlineStr">
        <is>
          <t>4. Questionário Técnico (inclusive a aba oculta 'Pesos', que revela critério de pontuação).</t>
        </is>
      </c>
    </row>
    <row r="25">
      <c r="A25" t="inlineStr">
        <is>
          <t>5. Apresentação do workshop: apenas informativa; o que estiver só nela é tratado como expectativa/risco de escopo, não como obrigação, até ser formalizado.</t>
        </is>
      </c>
    </row>
    <row r="27">
      <c r="A27" s="2" t="inlineStr">
        <is>
          <t>Problemas encontrados nos insumos</t>
        </is>
      </c>
    </row>
    <row r="28">
      <c r="A28" t="inlineStr">
        <is>
          <t>• Arquivos recebidos fora da ordem lógica (Q&amp;A primeiro, RFP por último). A análise foi reordenada pela hierarquia documental, e o Q&amp;A foi aplicado por cima do RFP e do Anexo I.</t>
        </is>
      </c>
    </row>
    <row r="29">
      <c r="A29" t="inlineStr">
        <is>
          <t>• A página 6 do PDF (Anexo III — Declaração de Localização de Dados) é uma imagem escaneada, sem camada de texto. O conteúdo foi transcrito por leitura visual, sem OCR: conferir com o original antes de citar literalmente.</t>
        </is>
      </c>
    </row>
    <row r="30">
      <c r="A30" t="inlineStr">
        <is>
          <t>• A planilha do Q&amp;A tem uma aba OCULTA ('Pesos') com pesos do questionário e uma regra de penalidade que não aparece no RFP.</t>
        </is>
      </c>
    </row>
    <row r="31">
      <c r="A31" t="inlineStr">
        <is>
          <t>• O Anexo IV (Planilha de Preços), referenciado no RFP 4.3, não foi recebido. O Anexo II não é referenciado nem foi recebido. Não há minuta de contrato.</t>
        </is>
      </c>
    </row>
    <row r="32">
      <c r="A32" t="inlineStr">
        <is>
          <t>• Informações relevantes de escopo (subsidiárias com ~900 usuários) estão só nas NOTAS DO APRESENTADOR do slide 5 do PPTX, não no slide visível.</t>
        </is>
      </c>
    </row>
    <row r="33">
      <c r="A33" t="inlineStr">
        <is>
          <t>• Datas: o Q&amp;A Rodada 1 está datado de 12/11/2026, que é posterior à data desta análise (18/10/2026) e ao prazo de perguntas (05/11/2026). Confirmar a origem e a versão do arquivo de Q&amp;A. Se for legítimo e já estiver publicado, os prazos para novas perguntas podem já estar encerrados.</t>
        </is>
      </c>
    </row>
    <row r="35">
      <c r="A35" s="2" t="inlineStr">
        <is>
          <t>Legenda de risco</t>
        </is>
      </c>
    </row>
    <row r="36">
      <c r="A36" s="5" t="inlineStr">
        <is>
          <t>Alto: pode eliminar a proposta, gerar perda relevante ou exige decisão da diretoria</t>
        </is>
      </c>
    </row>
    <row r="37">
      <c r="A37" s="6" t="inlineStr">
        <is>
          <t>Médio: impacto em custo/prazo administrável com premissa ou ressalva</t>
        </is>
      </c>
    </row>
    <row r="38">
      <c r="A38" s="7" t="inlineStr">
        <is>
          <t>Baixo: requisito usual / formal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20" customWidth="1" min="3" max="3"/>
  </cols>
  <sheetData>
    <row r="1">
      <c r="A1" s="8" t="inlineStr">
        <is>
          <t>Principais riscos e pontos de atenção (top 10)</t>
        </is>
      </c>
    </row>
    <row r="3">
      <c r="A3" s="3" t="inlineStr">
        <is>
          <t>#</t>
        </is>
      </c>
      <c r="B3" s="3" t="inlineStr">
        <is>
          <t>Ref. matriz</t>
        </is>
      </c>
      <c r="C3" s="3" t="inlineStr">
        <is>
          <t>Ponto</t>
        </is>
      </c>
    </row>
    <row r="4">
      <c r="A4" s="4" t="n">
        <v>1</v>
      </c>
      <c r="B4" s="4" t="inlineStr">
        <is>
          <t>CT-05</t>
        </is>
      </c>
      <c r="C4" s="4" t="inlineStr">
        <is>
          <t>Responsabilidade integral e ilimitada por QUALQUER incidente no ambiente do banco (7.5): candidato a no-go se não for negociada.</t>
        </is>
      </c>
    </row>
    <row r="5">
      <c r="A5" s="4" t="n">
        <v>2</v>
      </c>
      <c r="B5" s="4" t="inlineStr">
        <is>
          <t>CT-04</t>
        </is>
      </c>
      <c r="C5" s="4" t="inlineStr">
        <is>
          <t>Multa de 10% do valor mensal por ocorrência de SLA, sem teto (o Q&amp;A #4 recusou alterar). Junto com a criticidade definida pelo banco (Anexo I 2.4).</t>
        </is>
      </c>
    </row>
    <row r="6">
      <c r="A6" s="4" t="n">
        <v>3</v>
      </c>
      <c r="B6" s="4" t="inlineStr">
        <is>
          <t>TS-04</t>
        </is>
      </c>
      <c r="C6" s="4" t="inlineStr">
        <is>
          <t>A volumetria (EPS) só será informada ao vencedor (Q&amp;A #3) e o escopo de 'ativos relevantes' está aberto. O preço fixo carrega risco ilimitado.</t>
        </is>
      </c>
    </row>
    <row r="7">
      <c r="A7" s="4" t="n">
        <v>4</v>
      </c>
      <c r="B7" s="4" t="inlineStr">
        <is>
          <t>DM-01</t>
        </is>
      </c>
      <c r="C7" s="4" t="inlineStr">
        <is>
          <t>Quatro números de usuários (4.500 / 5.000 / 6.200 / ~7.100 com subsidiárias). O Q&amp;A manda considerar 5.000.</t>
        </is>
      </c>
    </row>
    <row r="8">
      <c r="A8" s="4" t="n">
        <v>5</v>
      </c>
      <c r="B8" s="4" t="inlineStr">
        <is>
          <t>TS-02</t>
        </is>
      </c>
      <c r="C8" s="4" t="inlineStr">
        <is>
          <t>O Anexo I permite SIEM em nuvem em 'região livre', mas o Anexo III (eliminatório) exige dados e logs só no Brasil.</t>
        </is>
      </c>
    </row>
    <row r="9">
      <c r="A9" s="4" t="n">
        <v>6</v>
      </c>
      <c r="B9" s="4" t="inlineStr">
        <is>
          <t>CR-04/05</t>
        </is>
      </c>
      <c r="C9" s="4" t="inlineStr">
        <is>
          <t>Transição de 30 dias (RFP) x 60 dias (Anexo I), com o SIEM legado terminando em 31/01/2027 sem prorrogação: go-live sem folga.</t>
        </is>
      </c>
    </row>
    <row r="10">
      <c r="A10" s="4" t="n">
        <v>7</v>
      </c>
      <c r="B10" s="4" t="inlineStr">
        <is>
          <t>TS-03</t>
        </is>
      </c>
      <c r="C10" s="4" t="inlineStr">
        <is>
          <t>Retenção de logs de 12 meses (1.3) x 5 anos (1.6), sem volumetria. Some-se a migração de 24 meses de histórico (só no workshop).</t>
        </is>
      </c>
    </row>
    <row r="11">
      <c r="A11" s="4" t="n">
        <v>8</v>
      </c>
      <c r="B11" s="4" t="inlineStr">
        <is>
          <t>AV-05</t>
        </is>
      </c>
      <c r="C11" s="4" t="inlineStr">
        <is>
          <t>Aba OCULTA 'Pesos' no questionário: -2 pts por não obrigatório 'Não atende' (SOAR e threat intel). Critério ausente no RFP.</t>
        </is>
      </c>
    </row>
    <row r="12">
      <c r="A12" s="4" t="n">
        <v>9</v>
      </c>
      <c r="B12" s="4" t="inlineStr">
        <is>
          <t>AV-02</t>
        </is>
      </c>
      <c r="C12" s="4" t="inlineStr">
        <is>
          <t>Os critérios técnicos somam 65, mas o máximo declarado é 60. A nota de corte de 70% fica indefinida (42 ou 45,5).</t>
        </is>
      </c>
    </row>
    <row r="13">
      <c r="A13" s="4" t="n">
        <v>10</v>
      </c>
      <c r="B13" s="4" t="inlineStr">
        <is>
          <t>PR-03/04</t>
        </is>
      </c>
      <c r="C13" s="4" t="inlineStr">
        <is>
          <t>O Anexo IV (Planilha de Preços) não foi recebido e o Anexo II não é citado nem foi enviado: pricing final bloqueado.</t>
        </is>
      </c>
    </row>
    <row r="16">
      <c r="A16" s="2" t="inlineStr">
        <is>
          <t>Contagem da matriz por categoria e risco</t>
        </is>
      </c>
    </row>
    <row r="17">
      <c r="A17" s="9" t="inlineStr">
        <is>
          <t>Categoria</t>
        </is>
      </c>
      <c r="B17" s="9" t="inlineStr">
        <is>
          <t>Alto</t>
        </is>
      </c>
      <c r="C17" s="9" t="inlineStr">
        <is>
          <t>Médio</t>
        </is>
      </c>
      <c r="D17" s="9" t="inlineStr">
        <is>
          <t>Baixo</t>
        </is>
      </c>
      <c r="E17" s="9" t="inlineStr">
        <is>
          <t>Total</t>
        </is>
      </c>
    </row>
    <row r="18">
      <c r="A18" s="10" t="inlineStr">
        <is>
          <t>Cronograma</t>
        </is>
      </c>
      <c r="B18" s="10">
        <f>COUNTIFS(Matriz!$B:$B,$A18,Matriz!$J:$J,"Alto")</f>
        <v/>
      </c>
      <c r="C18" s="10">
        <f>COUNTIFS(Matriz!$B:$B,$A18,Matriz!$J:$J,"Médio")</f>
        <v/>
      </c>
      <c r="D18" s="10">
        <f>COUNTIFS(Matriz!$B:$B,$A18,Matriz!$J:$J,"Baixo")</f>
        <v/>
      </c>
      <c r="E18" s="10">
        <f>COUNTIF(Matriz!$B:$B,$A18)</f>
        <v/>
      </c>
    </row>
    <row r="19">
      <c r="A19" s="10" t="inlineStr">
        <is>
          <t>Proposta (forma)</t>
        </is>
      </c>
      <c r="B19" s="10">
        <f>COUNTIFS(Matriz!$B:$B,$A19,Matriz!$J:$J,"Alto")</f>
        <v/>
      </c>
      <c r="C19" s="10">
        <f>COUNTIFS(Matriz!$B:$B,$A19,Matriz!$J:$J,"Médio")</f>
        <v/>
      </c>
      <c r="D19" s="10">
        <f>COUNTIFS(Matriz!$B:$B,$A19,Matriz!$J:$J,"Baixo")</f>
        <v/>
      </c>
      <c r="E19" s="10">
        <f>COUNTIF(Matriz!$B:$B,$A19)</f>
        <v/>
      </c>
    </row>
    <row r="20">
      <c r="A20" s="10" t="inlineStr">
        <is>
          <t>Habilitação</t>
        </is>
      </c>
      <c r="B20" s="10">
        <f>COUNTIFS(Matriz!$B:$B,$A20,Matriz!$J:$J,"Alto")</f>
        <v/>
      </c>
      <c r="C20" s="10">
        <f>COUNTIFS(Matriz!$B:$B,$A20,Matriz!$J:$J,"Médio")</f>
        <v/>
      </c>
      <c r="D20" s="10">
        <f>COUNTIFS(Matriz!$B:$B,$A20,Matriz!$J:$J,"Baixo")</f>
        <v/>
      </c>
      <c r="E20" s="10">
        <f>COUNTIF(Matriz!$B:$B,$A20)</f>
        <v/>
      </c>
    </row>
    <row r="21">
      <c r="A21" s="10" t="inlineStr">
        <is>
          <t>Avaliação</t>
        </is>
      </c>
      <c r="B21" s="10">
        <f>COUNTIFS(Matriz!$B:$B,$A21,Matriz!$J:$J,"Alto")</f>
        <v/>
      </c>
      <c r="C21" s="10">
        <f>COUNTIFS(Matriz!$B:$B,$A21,Matriz!$J:$J,"Médio")</f>
        <v/>
      </c>
      <c r="D21" s="10">
        <f>COUNTIFS(Matriz!$B:$B,$A21,Matriz!$J:$J,"Baixo")</f>
        <v/>
      </c>
      <c r="E21" s="10">
        <f>COUNTIF(Matriz!$B:$B,$A21)</f>
        <v/>
      </c>
    </row>
    <row r="22">
      <c r="A22" s="10" t="inlineStr">
        <is>
          <t>Escopo SOC</t>
        </is>
      </c>
      <c r="B22" s="10">
        <f>COUNTIFS(Matriz!$B:$B,$A22,Matriz!$J:$J,"Alto")</f>
        <v/>
      </c>
      <c r="C22" s="10">
        <f>COUNTIFS(Matriz!$B:$B,$A22,Matriz!$J:$J,"Médio")</f>
        <v/>
      </c>
      <c r="D22" s="10">
        <f>COUNTIFS(Matriz!$B:$B,$A22,Matriz!$J:$J,"Baixo")</f>
        <v/>
      </c>
      <c r="E22" s="10">
        <f>COUNTIF(Matriz!$B:$B,$A22)</f>
        <v/>
      </c>
    </row>
    <row r="23">
      <c r="A23" s="10" t="inlineStr">
        <is>
          <t>SLA</t>
        </is>
      </c>
      <c r="B23" s="10">
        <f>COUNTIFS(Matriz!$B:$B,$A23,Matriz!$J:$J,"Alto")</f>
        <v/>
      </c>
      <c r="C23" s="10">
        <f>COUNTIFS(Matriz!$B:$B,$A23,Matriz!$J:$J,"Médio")</f>
        <v/>
      </c>
      <c r="D23" s="10">
        <f>COUNTIFS(Matriz!$B:$B,$A23,Matriz!$J:$J,"Baixo")</f>
        <v/>
      </c>
      <c r="E23" s="10">
        <f>COUNTIF(Matriz!$B:$B,$A23)</f>
        <v/>
      </c>
    </row>
    <row r="24">
      <c r="A24" s="10" t="inlineStr">
        <is>
          <t>Escopo IAM</t>
        </is>
      </c>
      <c r="B24" s="10">
        <f>COUNTIFS(Matriz!$B:$B,$A24,Matriz!$J:$J,"Alto")</f>
        <v/>
      </c>
      <c r="C24" s="10">
        <f>COUNTIFS(Matriz!$B:$B,$A24,Matriz!$J:$J,"Médio")</f>
        <v/>
      </c>
      <c r="D24" s="10">
        <f>COUNTIFS(Matriz!$B:$B,$A24,Matriz!$J:$J,"Baixo")</f>
        <v/>
      </c>
      <c r="E24" s="10">
        <f>COUNTIF(Matriz!$B:$B,$A24)</f>
        <v/>
      </c>
    </row>
    <row r="25">
      <c r="A25" s="10" t="inlineStr">
        <is>
          <t>Dimensionamento</t>
        </is>
      </c>
      <c r="B25" s="10">
        <f>COUNTIFS(Matriz!$B:$B,$A25,Matriz!$J:$J,"Alto")</f>
        <v/>
      </c>
      <c r="C25" s="10">
        <f>COUNTIFS(Matriz!$B:$B,$A25,Matriz!$J:$J,"Médio")</f>
        <v/>
      </c>
      <c r="D25" s="10">
        <f>COUNTIFS(Matriz!$B:$B,$A25,Matriz!$J:$J,"Baixo")</f>
        <v/>
      </c>
      <c r="E25" s="10">
        <f>COUNTIF(Matriz!$B:$B,$A25)</f>
        <v/>
      </c>
    </row>
    <row r="26">
      <c r="A26" s="10" t="inlineStr">
        <is>
          <t>Equipe</t>
        </is>
      </c>
      <c r="B26" s="10">
        <f>COUNTIFS(Matriz!$B:$B,$A26,Matriz!$J:$J,"Alto")</f>
        <v/>
      </c>
      <c r="C26" s="10">
        <f>COUNTIFS(Matriz!$B:$B,$A26,Matriz!$J:$J,"Médio")</f>
        <v/>
      </c>
      <c r="D26" s="10">
        <f>COUNTIFS(Matriz!$B:$B,$A26,Matriz!$J:$J,"Baixo")</f>
        <v/>
      </c>
      <c r="E26" s="10">
        <f>COUNTIF(Matriz!$B:$B,$A26)</f>
        <v/>
      </c>
    </row>
    <row r="27">
      <c r="A27" s="10" t="inlineStr">
        <is>
          <t>Contratual</t>
        </is>
      </c>
      <c r="B27" s="10">
        <f>COUNTIFS(Matriz!$B:$B,$A27,Matriz!$J:$J,"Alto")</f>
        <v/>
      </c>
      <c r="C27" s="10">
        <f>COUNTIFS(Matriz!$B:$B,$A27,Matriz!$J:$J,"Médio")</f>
        <v/>
      </c>
      <c r="D27" s="10">
        <f>COUNTIFS(Matriz!$B:$B,$A27,Matriz!$J:$J,"Baixo")</f>
        <v/>
      </c>
      <c r="E27" s="10">
        <f>COUNTIF(Matriz!$B:$B,$A27)</f>
        <v/>
      </c>
    </row>
    <row r="28">
      <c r="A28" s="10" t="inlineStr">
        <is>
          <t>Regulatório</t>
        </is>
      </c>
      <c r="B28" s="10">
        <f>COUNTIFS(Matriz!$B:$B,$A28,Matriz!$J:$J,"Alto")</f>
        <v/>
      </c>
      <c r="C28" s="10">
        <f>COUNTIFS(Matriz!$B:$B,$A28,Matriz!$J:$J,"Médio")</f>
        <v/>
      </c>
      <c r="D28" s="10">
        <f>COUNTIFS(Matriz!$B:$B,$A28,Matriz!$J:$J,"Baixo")</f>
        <v/>
      </c>
      <c r="E28" s="10">
        <f>COUNTIF(Matriz!$B:$B,$A28)</f>
        <v/>
      </c>
    </row>
    <row r="29">
      <c r="A29" s="2" t="inlineStr">
        <is>
          <t>TOTAL</t>
        </is>
      </c>
      <c r="B29" s="11">
        <f>SUM(B18:B28)</f>
        <v/>
      </c>
      <c r="C29" s="11">
        <f>SUM(C18:C28)</f>
        <v/>
      </c>
      <c r="D29" s="11">
        <f>SUM(D18:D28)</f>
        <v/>
      </c>
      <c r="E29" s="11">
        <f>SUM(E18:E28)</f>
        <v/>
      </c>
    </row>
    <row r="31">
      <c r="A31" t="inlineStr">
        <is>
          <t>Itens com impacto em Pricing:</t>
        </is>
      </c>
      <c r="C31">
        <f>COUNTIF(Matriz!$K:$K,"Sim")</f>
        <v/>
      </c>
    </row>
    <row r="32">
      <c r="A32" t="inlineStr">
        <is>
          <t>Itens com impacto Jurídico:</t>
        </is>
      </c>
      <c r="C32">
        <f>COUNTIF(Matriz!$L:$L,"Sim")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8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2" customWidth="1" min="4" max="4"/>
    <col width="26" customWidth="1" min="5" max="5"/>
    <col width="60" customWidth="1" min="6" max="6"/>
    <col width="20" customWidth="1" min="7" max="7"/>
    <col width="34" customWidth="1" min="8" max="8"/>
    <col width="28" customWidth="1" min="9" max="9"/>
    <col width="9" customWidth="1" min="10" max="10"/>
    <col width="10" customWidth="1" min="11" max="11"/>
    <col width="10" customWidth="1" min="12" max="12"/>
    <col width="22" customWidth="1" min="13" max="13"/>
    <col width="60" customWidth="1" min="14" max="14"/>
    <col width="60" customWidth="1" min="15" max="15"/>
    <col width="10" customWidth="1" min="16" max="16"/>
    <col width="14" customWidth="1" min="17" max="17"/>
    <col width="16" customWidth="1" min="18" max="18"/>
    <col width="30" customWidth="1" min="19" max="19"/>
  </cols>
  <sheetData>
    <row r="1">
      <c r="A1" s="3" t="inlineStr">
        <is>
          <t>ID</t>
        </is>
      </c>
      <c r="B1" s="3" t="inlineStr">
        <is>
          <t>Categoria</t>
        </is>
      </c>
      <c r="C1" s="3" t="inlineStr">
        <is>
          <t>Tema</t>
        </is>
      </c>
      <c r="D1" s="3" t="inlineStr">
        <is>
          <t>Fonte principal</t>
        </is>
      </c>
      <c r="E1" s="3" t="inlineStr">
        <is>
          <t>Outras fontes</t>
        </is>
      </c>
      <c r="F1" s="3" t="inlineStr">
        <is>
          <t>Requisito / conteúdo (resumo)</t>
        </is>
      </c>
      <c r="G1" s="3" t="inlineStr">
        <is>
          <t>Tipo</t>
        </is>
      </c>
      <c r="H1" s="3" t="inlineStr">
        <is>
          <t>Posição vigente (após Q&amp;A)</t>
        </is>
      </c>
      <c r="I1" s="3" t="inlineStr">
        <is>
          <t>Conflito / ambiguidade</t>
        </is>
      </c>
      <c r="J1" s="3" t="inlineStr">
        <is>
          <t>Risco</t>
        </is>
      </c>
      <c r="K1" s="3" t="inlineStr">
        <is>
          <t>Impacto Pricing</t>
        </is>
      </c>
      <c r="L1" s="3" t="inlineStr">
        <is>
          <t>Impacto Jurídico</t>
        </is>
      </c>
      <c r="M1" s="3" t="inlineStr">
        <is>
          <t>Área responsável</t>
        </is>
      </c>
      <c r="N1" s="3" t="inlineStr">
        <is>
          <t>Análise</t>
        </is>
      </c>
      <c r="O1" s="3" t="inlineStr">
        <is>
          <t>Ação recomendada</t>
        </is>
      </c>
      <c r="P1" s="3" t="inlineStr">
        <is>
          <t>Pergunta (ref.)</t>
        </is>
      </c>
      <c r="Q1" s="3" t="inlineStr">
        <is>
          <t>Status interno</t>
        </is>
      </c>
      <c r="R1" s="3" t="inlineStr">
        <is>
          <t>Responsável</t>
        </is>
      </c>
      <c r="S1" s="3" t="inlineStr">
        <is>
          <t>Comentários das áreas</t>
        </is>
      </c>
    </row>
    <row r="2">
      <c r="A2" s="4" t="inlineStr">
        <is>
          <t>CR-01</t>
        </is>
      </c>
      <c r="B2" s="4" t="inlineStr">
        <is>
          <t>Cronograma</t>
        </is>
      </c>
      <c r="C2" s="4" t="inlineStr">
        <is>
          <t>Entrega das propostas</t>
        </is>
      </c>
      <c r="D2" s="4" t="inlineStr">
        <is>
          <t>Q&amp;A #1</t>
        </is>
      </c>
      <c r="E2" s="4" t="inlineStr">
        <is>
          <t>RFP 3.1</t>
        </is>
      </c>
      <c r="F2" s="4" t="inlineStr">
        <is>
          <t>RFP: 20/11/2026 até 18h. Q&amp;A #1 prorroga para 27/11/2026 até 18h.</t>
        </is>
      </c>
      <c r="G2" s="4" t="inlineStr">
        <is>
          <t>Prazo</t>
        </is>
      </c>
      <c r="H2" s="4" t="inlineStr">
        <is>
          <t>27/11/2026 até 18h (prorrogado)</t>
        </is>
      </c>
      <c r="I2" s="4" t="inlineStr">
        <is>
          <t>Alterado pelo Q&amp;A</t>
        </is>
      </c>
      <c r="J2" s="4" t="inlineStr">
        <is>
          <t>Médio</t>
        </is>
      </c>
      <c r="K2" s="4" t="inlineStr">
        <is>
          <t>Não</t>
        </is>
      </c>
      <c r="L2" s="4" t="inlineStr">
        <is>
          <t>Não</t>
        </is>
      </c>
      <c r="M2" s="4" t="inlineStr">
        <is>
          <t>Bid / Comercial</t>
        </is>
      </c>
      <c r="N2" s="4" t="inlineStr">
        <is>
          <t>A prorrogação consta só no Q&amp;A. O RFP v1.0 não foi reemitido.</t>
        </is>
      </c>
      <c r="O2" s="4" t="inlineStr">
        <is>
          <t>Planejar a entrega para 27/11, 18h, mas confirmar no portal de fornecedores se a data foi atualizada. Até lá, manter o plano B de 20/11.</t>
        </is>
      </c>
      <c r="P2" s="4" t="inlineStr">
        <is>
          <t>PE-14</t>
        </is>
      </c>
      <c r="Q2" s="4" t="inlineStr">
        <is>
          <t>Aberto</t>
        </is>
      </c>
      <c r="R2" s="4" t="inlineStr"/>
      <c r="S2" s="4" t="inlineStr"/>
    </row>
    <row r="3">
      <c r="A3" s="4" t="inlineStr">
        <is>
          <t>CR-02</t>
        </is>
      </c>
      <c r="B3" s="4" t="inlineStr">
        <is>
          <t>Cronograma</t>
        </is>
      </c>
      <c r="C3" s="4" t="inlineStr">
        <is>
          <t>Workshop do ambiente</t>
        </is>
      </c>
      <c r="D3" s="4" t="inlineStr">
        <is>
          <t>RFP 3.1</t>
        </is>
      </c>
      <c r="E3" s="4" t="inlineStr">
        <is>
          <t>PPTX slide 1</t>
        </is>
      </c>
      <c r="F3" s="4" t="inlineStr">
        <is>
          <t>Workshop de apresentação do ambiente em 22/10/2026.</t>
        </is>
      </c>
      <c r="G3" s="4" t="inlineStr">
        <is>
          <t>Prazo</t>
        </is>
      </c>
      <c r="H3" s="4" t="inlineStr">
        <is>
          <t>22/10/2026</t>
        </is>
      </c>
      <c r="I3" s="4" t="inlineStr">
        <is>
          <t>—</t>
        </is>
      </c>
      <c r="J3" s="4" t="inlineStr">
        <is>
          <t>Baixo</t>
        </is>
      </c>
      <c r="K3" s="4" t="inlineStr">
        <is>
          <t>Não</t>
        </is>
      </c>
      <c r="L3" s="4" t="inlineStr">
        <is>
          <t>Não</t>
        </is>
      </c>
      <c r="M3" s="4" t="inlineStr">
        <is>
          <t>Pré-vendas</t>
        </is>
      </c>
      <c r="N3" s="4" t="inlineStr">
        <is>
          <t>A apresentação do workshop traz informações que não estão no RFP (usuários, subsidiárias, migração de logs, meta de falsos positivos).</t>
        </is>
      </c>
      <c r="O3" s="4" t="inlineStr">
        <is>
          <t>Participar e levar as perguntas da aba 'Esclarecimentos'. Pedir que o conteúdo do workshop seja formalizado em ata ou Q&amp;A.</t>
        </is>
      </c>
      <c r="P3" s="4" t="inlineStr">
        <is>
          <t>PE-02</t>
        </is>
      </c>
      <c r="Q3" s="4" t="inlineStr">
        <is>
          <t>Aberto</t>
        </is>
      </c>
      <c r="R3" s="4" t="inlineStr"/>
      <c r="S3" s="4" t="inlineStr"/>
    </row>
    <row r="4">
      <c r="A4" s="4" t="inlineStr">
        <is>
          <t>CR-03</t>
        </is>
      </c>
      <c r="B4" s="4" t="inlineStr">
        <is>
          <t>Cronograma</t>
        </is>
      </c>
      <c r="C4" s="4" t="inlineStr">
        <is>
          <t>Prazo para perguntas</t>
        </is>
      </c>
      <c r="D4" s="4" t="inlineStr">
        <is>
          <t>RFP 3.1</t>
        </is>
      </c>
      <c r="E4" s="4" t="inlineStr"/>
      <c r="F4" s="4" t="inlineStr">
        <is>
          <t>Perguntas até 05/11/2026; respostas divulgadas em 12/11/2026.</t>
        </is>
      </c>
      <c r="G4" s="4" t="inlineStr">
        <is>
          <t>Prazo</t>
        </is>
      </c>
      <c r="H4" s="4" t="inlineStr">
        <is>
          <t>05/11/2026</t>
        </is>
      </c>
      <c r="I4" s="4" t="inlineStr">
        <is>
          <t>—</t>
        </is>
      </c>
      <c r="J4" s="4" t="inlineStr">
        <is>
          <t>Alto</t>
        </is>
      </c>
      <c r="K4" s="4" t="inlineStr">
        <is>
          <t>Não</t>
        </is>
      </c>
      <c r="L4" s="4" t="inlineStr">
        <is>
          <t>Não</t>
        </is>
      </c>
      <c r="M4" s="4" t="inlineStr">
        <is>
          <t>Bid / Comercial</t>
        </is>
      </c>
      <c r="N4" s="4" t="inlineStr">
        <is>
          <t>Este é o último canal formal para resolver os conflitos desta matriz. O Q&amp;A recebido é a 'Rodada 1', o que sugere que pode haver novas rodadas.</t>
        </is>
      </c>
      <c r="O4" s="4" t="inlineStr">
        <is>
          <t>Enviar o pacote de perguntas desta matriz antes de 05/11/2026.</t>
        </is>
      </c>
      <c r="P4" s="4" t="inlineStr">
        <is>
          <t>—</t>
        </is>
      </c>
      <c r="Q4" s="4" t="inlineStr">
        <is>
          <t>Aberto</t>
        </is>
      </c>
      <c r="R4" s="4" t="inlineStr"/>
      <c r="S4" s="4" t="inlineStr"/>
    </row>
    <row r="5">
      <c r="A5" s="4" t="inlineStr">
        <is>
          <t>CR-04</t>
        </is>
      </c>
      <c r="B5" s="4" t="inlineStr">
        <is>
          <t>Cronograma</t>
        </is>
      </c>
      <c r="C5" s="4" t="inlineStr">
        <is>
          <t>Início dos serviços x fim do SIEM legado</t>
        </is>
      </c>
      <c r="D5" s="4" t="inlineStr">
        <is>
          <t>RFP 3.1</t>
        </is>
      </c>
      <c r="E5" s="4" t="inlineStr">
        <is>
          <t>PPTX slide 3</t>
        </is>
      </c>
      <c r="F5" s="4" t="inlineStr">
        <is>
          <t>Início previsto em 01/02/2027. O contrato do SIEM legado termina em 31/01/2027, sem possibilidade de prorrogação.</t>
        </is>
      </c>
      <c r="G5" s="4" t="inlineStr">
        <is>
          <t>Prazo</t>
        </is>
      </c>
      <c r="H5" s="4" t="inlineStr">
        <is>
          <t>01/02/2027 (go-live sem folga)</t>
        </is>
      </c>
      <c r="I5" s="4" t="inlineStr">
        <is>
          <t>Sem margem de contingência</t>
        </is>
      </c>
      <c r="J5" s="4" t="inlineStr">
        <is>
          <t>Alto</t>
        </is>
      </c>
      <c r="K5" s="12" t="inlineStr">
        <is>
          <t>Sim</t>
        </is>
      </c>
      <c r="L5" s="12" t="inlineStr">
        <is>
          <t>Sim</t>
        </is>
      </c>
      <c r="M5" s="4" t="inlineStr">
        <is>
          <t>Pré-vendas / Jurídico</t>
        </is>
      </c>
      <c r="N5" s="4" t="inlineStr">
        <is>
          <t>Não há folga: se o novo SIEM não estiver operando em 01/02/2027, o banco fica sem monitoramento. A migração de 24 meses de logs (TS-06) também precisa acontecer antes de 31/01/2027, enquanto o legado ainda existe. A data de assinatura do contrato não foi informada.</t>
        </is>
      </c>
      <c r="O5" s="4" t="inlineStr">
        <is>
          <t>Pedir a data prevista de assinatura. Condicionar os prazos de transição à assinatura e ao cumprimento das obrigações do Contratante. Prever plano de contingência.</t>
        </is>
      </c>
      <c r="P5" s="4" t="inlineStr">
        <is>
          <t>PE-03</t>
        </is>
      </c>
      <c r="Q5" s="4" t="inlineStr">
        <is>
          <t>Aberto</t>
        </is>
      </c>
      <c r="R5" s="4" t="inlineStr"/>
      <c r="S5" s="4" t="inlineStr"/>
    </row>
    <row r="6">
      <c r="A6" s="4" t="inlineStr">
        <is>
          <t>CR-05</t>
        </is>
      </c>
      <c r="B6" s="4" t="inlineStr">
        <is>
          <t>Cronograma</t>
        </is>
      </c>
      <c r="C6" s="4" t="inlineStr">
        <is>
          <t>Prazo de transição</t>
        </is>
      </c>
      <c r="D6" s="4" t="inlineStr">
        <is>
          <t>RFP 3.2</t>
        </is>
      </c>
      <c r="E6" s="4" t="inlineStr">
        <is>
          <t>Anexo I 4.1</t>
        </is>
      </c>
      <c r="F6" s="4" t="inlineStr">
        <is>
          <t>RFP 3.2: transição concluída em até 30 dias corridos da assinatura. Anexo I 4.1: até 60 dias corridos da assinatura.</t>
        </is>
      </c>
      <c r="G6" s="4" t="inlineStr">
        <is>
          <t>Obrigatório</t>
        </is>
      </c>
      <c r="H6" s="4" t="inlineStr">
        <is>
          <t>INDEFINIDO: 30 x 60 dias (adotar 30 dias como pior caso)</t>
        </is>
      </c>
      <c r="I6" s="4" t="inlineStr">
        <is>
          <t>CONFLITO RFP x Anexo I</t>
        </is>
      </c>
      <c r="J6" s="4" t="inlineStr">
        <is>
          <t>Alto</t>
        </is>
      </c>
      <c r="K6" s="12" t="inlineStr">
        <is>
          <t>Sim</t>
        </is>
      </c>
      <c r="L6" s="12" t="inlineStr">
        <is>
          <t>Sim</t>
        </is>
      </c>
      <c r="M6" s="4" t="inlineStr">
        <is>
          <t>Pré-vendas / Pricing / Jurídico</t>
        </is>
      </c>
      <c r="N6" s="4" t="inlineStr">
        <is>
          <t>Os dois documentos divergem e o Q&amp;A não tratou do tema. O plano de transição vale 10 pontos (6.2). Com 30 dias, a equipe de onboarding fica mais concentrada e mais cara. Somado à multa de 10% por SLA (CT-04), o atraso na transição é um risco relevante.</t>
        </is>
      </c>
      <c r="O6" s="4" t="inlineStr">
        <is>
          <t>Pedir esclarecimento. Precificar e planejar para 30 dias, com a premissa de que a contagem só corre após a entrega da documentação (CR-07) e dos acessos (VPN).</t>
        </is>
      </c>
      <c r="P6" s="4" t="inlineStr">
        <is>
          <t>PE-04</t>
        </is>
      </c>
      <c r="Q6" s="4" t="inlineStr">
        <is>
          <t>Aberto</t>
        </is>
      </c>
      <c r="R6" s="4" t="inlineStr"/>
      <c r="S6" s="4" t="inlineStr"/>
    </row>
    <row r="7">
      <c r="A7" s="4" t="inlineStr">
        <is>
          <t>CR-06</t>
        </is>
      </c>
      <c r="B7" s="4" t="inlineStr">
        <is>
          <t>Cronograma</t>
        </is>
      </c>
      <c r="C7" s="4" t="inlineStr">
        <is>
          <t>Operação paralela sem custo</t>
        </is>
      </c>
      <c r="D7" s="4" t="inlineStr">
        <is>
          <t>Anexo I 4.2</t>
        </is>
      </c>
      <c r="E7" s="4" t="inlineStr">
        <is>
          <t>PPTX slide 3</t>
        </is>
      </c>
      <c r="F7" s="4" t="inlineStr">
        <is>
          <t>Durante a transição, operar em paralelo com o fornecedor atual, sem custo adicional para o Contratante.</t>
        </is>
      </c>
      <c r="G7" s="4" t="inlineStr">
        <is>
          <t>Obrigatório</t>
        </is>
      </c>
      <c r="H7" s="4" t="inlineStr">
        <is>
          <t>Paralelo sem custo adicional</t>
        </is>
      </c>
      <c r="I7" s="4" t="inlineStr">
        <is>
          <t>Ambiguidade (duração do paralelo)</t>
        </is>
      </c>
      <c r="J7" s="4" t="inlineStr">
        <is>
          <t>Médio</t>
        </is>
      </c>
      <c r="K7" s="12" t="inlineStr">
        <is>
          <t>Sim</t>
        </is>
      </c>
      <c r="L7" s="12" t="inlineStr">
        <is>
          <t>Sim</t>
        </is>
      </c>
      <c r="M7" s="4" t="inlineStr">
        <is>
          <t>Pricing</t>
        </is>
      </c>
      <c r="N7" s="4" t="inlineStr">
        <is>
          <t>O custo da operação paralela tem de ser diluído na mensalidade. A duração depende de CR-05 e fica limitada pelo fim do SIEM legado em 31/01/2027.</t>
        </is>
      </c>
      <c r="O7" s="4" t="inlineStr">
        <is>
          <t>Embutir o custo de transição e paralelo no preço, ou em uma linha de setup se o Anexo IV permitir. Limitar o paralelo ao prazo de transição.</t>
        </is>
      </c>
      <c r="P7" s="4" t="inlineStr">
        <is>
          <t>PE-04</t>
        </is>
      </c>
      <c r="Q7" s="4" t="inlineStr">
        <is>
          <t>Aberto</t>
        </is>
      </c>
      <c r="R7" s="4" t="inlineStr"/>
      <c r="S7" s="4" t="inlineStr"/>
    </row>
    <row r="8">
      <c r="A8" s="4" t="inlineStr">
        <is>
          <t>CR-07</t>
        </is>
      </c>
      <c r="B8" s="4" t="inlineStr">
        <is>
          <t>Cronograma</t>
        </is>
      </c>
      <c r="C8" s="4" t="inlineStr">
        <is>
          <t>Documentação do ambiente pelo Contratante</t>
        </is>
      </c>
      <c r="D8" s="4" t="inlineStr">
        <is>
          <t>Anexo I 6.2</t>
        </is>
      </c>
      <c r="E8" s="4" t="inlineStr">
        <is>
          <t>Anexo I 6.1</t>
        </is>
      </c>
      <c r="F8" s="4" t="inlineStr">
        <is>
          <t>Contratante entrega a documentação técnica em até 10 dias após a assinatura e disponibiliza VPN (6.1).</t>
        </is>
      </c>
      <c r="G8" s="4" t="inlineStr">
        <is>
          <t>Obrigação do Contratante</t>
        </is>
      </c>
      <c r="H8" s="4" t="inlineStr">
        <is>
          <t>10 dias após a assinatura</t>
        </is>
      </c>
      <c r="I8" s="4" t="inlineStr">
        <is>
          <t>Ambiguidade (impacto no prazo de 30 dias)</t>
        </is>
      </c>
      <c r="J8" s="4" t="inlineStr">
        <is>
          <t>Médio</t>
        </is>
      </c>
      <c r="K8" s="4" t="inlineStr">
        <is>
          <t>Não</t>
        </is>
      </c>
      <c r="L8" s="12" t="inlineStr">
        <is>
          <t>Sim</t>
        </is>
      </c>
      <c r="M8" s="4" t="inlineStr">
        <is>
          <t>Jurídico / Pré-vendas</t>
        </is>
      </c>
      <c r="N8" s="4" t="inlineStr">
        <is>
          <t>Com transição de 30 dias, o banco pode consumir até 1/3 do prazo antes de entregar a documentação. Não há previsão de que atrasos do Contratante suspendam os prazos da Contratada.</t>
        </is>
      </c>
      <c r="O8" s="4" t="inlineStr">
        <is>
          <t>Incluir premissa: prazos de transição e SLAs ficam suspensos enquanto houver pendências do Contratante (documentação, VPN, acessos).</t>
        </is>
      </c>
      <c r="P8" s="4" t="inlineStr">
        <is>
          <t>PE-04</t>
        </is>
      </c>
      <c r="Q8" s="4" t="inlineStr">
        <is>
          <t>Aberto</t>
        </is>
      </c>
      <c r="R8" s="4" t="inlineStr"/>
      <c r="S8" s="4" t="inlineStr"/>
    </row>
    <row r="9">
      <c r="A9" s="4" t="inlineStr">
        <is>
          <t>PR-01</t>
        </is>
      </c>
      <c r="B9" s="4" t="inlineStr">
        <is>
          <t>Proposta (forma)</t>
        </is>
      </c>
      <c r="C9" s="4" t="inlineStr">
        <is>
          <t>Idioma e canal</t>
        </is>
      </c>
      <c r="D9" s="4" t="inlineStr">
        <is>
          <t>RFP 4.1</t>
        </is>
      </c>
      <c r="E9" s="4" t="inlineStr"/>
      <c r="F9" s="4" t="inlineStr">
        <is>
          <t>Proposta em língua portuguesa, enviada exclusivamente pelo portal de fornecedores.</t>
        </is>
      </c>
      <c r="G9" s="4" t="inlineStr">
        <is>
          <t>Obrigatório (forma)</t>
        </is>
      </c>
      <c r="H9" s="4" t="inlineStr">
        <is>
          <t>Português; somente pelo portal</t>
        </is>
      </c>
      <c r="I9" s="4" t="inlineStr">
        <is>
          <t>—</t>
        </is>
      </c>
      <c r="J9" s="4" t="inlineStr">
        <is>
          <t>Baixo</t>
        </is>
      </c>
      <c r="K9" s="4" t="inlineStr">
        <is>
          <t>Não</t>
        </is>
      </c>
      <c r="L9" s="4" t="inlineStr">
        <is>
          <t>Não</t>
        </is>
      </c>
      <c r="M9" s="4" t="inlineStr">
        <is>
          <t>Bid / Comercial</t>
        </is>
      </c>
      <c r="N9" s="4" t="inlineStr">
        <is>
          <t>Requisito formal.</t>
        </is>
      </c>
      <c r="O9" s="4" t="inlineStr">
        <is>
          <t>Confirmar o cadastro e o acesso ao portal com antecedência e fazer um teste de upload.</t>
        </is>
      </c>
      <c r="P9" s="4" t="inlineStr">
        <is>
          <t>—</t>
        </is>
      </c>
      <c r="Q9" s="4" t="inlineStr">
        <is>
          <t>Aberto</t>
        </is>
      </c>
      <c r="R9" s="4" t="inlineStr"/>
      <c r="S9" s="4" t="inlineStr"/>
    </row>
    <row r="10">
      <c r="A10" s="4" t="inlineStr">
        <is>
          <t>PR-02</t>
        </is>
      </c>
      <c r="B10" s="4" t="inlineStr">
        <is>
          <t>Proposta (forma)</t>
        </is>
      </c>
      <c r="C10" s="4" t="inlineStr">
        <is>
          <t>Limite de páginas</t>
        </is>
      </c>
      <c r="D10" s="4" t="inlineStr">
        <is>
          <t>RFP 4.2</t>
        </is>
      </c>
      <c r="E10" s="4" t="inlineStr"/>
      <c r="F10" s="4" t="inlineStr">
        <is>
          <t>Proposta técnica com no máximo 40 páginas, excluídos os anexos.</t>
        </is>
      </c>
      <c r="G10" s="4" t="inlineStr">
        <is>
          <t>Obrigatório (forma)</t>
        </is>
      </c>
      <c r="H10" s="4" t="inlineStr">
        <is>
          <t>40 páginas</t>
        </is>
      </c>
      <c r="I10" s="4" t="inlineStr">
        <is>
          <t>—</t>
        </is>
      </c>
      <c r="J10" s="4" t="inlineStr">
        <is>
          <t>Médio</t>
        </is>
      </c>
      <c r="K10" s="4" t="inlineStr">
        <is>
          <t>Não</t>
        </is>
      </c>
      <c r="L10" s="4" t="inlineStr">
        <is>
          <t>Não</t>
        </is>
      </c>
      <c r="M10" s="4" t="inlineStr">
        <is>
          <t>Bid / Comercial</t>
        </is>
      </c>
      <c r="N10" s="4" t="inlineStr">
        <is>
          <t>O RFP não diz qual é a consequência de exceder o limite. Os critérios técnicos (65 pontos) têm de caber em 40 páginas.</t>
        </is>
      </c>
      <c r="O10" s="4" t="inlineStr">
        <is>
          <t>Estruturar a proposta pelos 4 critérios do item 6.2. Levar detalhes para anexos.</t>
        </is>
      </c>
      <c r="P10" s="4" t="inlineStr">
        <is>
          <t>—</t>
        </is>
      </c>
      <c r="Q10" s="4" t="inlineStr">
        <is>
          <t>Aberto</t>
        </is>
      </c>
      <c r="R10" s="4" t="inlineStr"/>
      <c r="S10" s="4" t="inlineStr"/>
    </row>
    <row r="11">
      <c r="A11" s="4" t="inlineStr">
        <is>
          <t>PR-03</t>
        </is>
      </c>
      <c r="B11" s="4" t="inlineStr">
        <is>
          <t>Proposta (forma)</t>
        </is>
      </c>
      <c r="C11" s="4" t="inlineStr">
        <is>
          <t>Planilha de preços (Anexo IV)</t>
        </is>
      </c>
      <c r="D11" s="4" t="inlineStr">
        <is>
          <t>RFP 4.3</t>
        </is>
      </c>
      <c r="E11" s="4" t="inlineStr"/>
      <c r="F11" s="4" t="inlineStr">
        <is>
          <t>Proposta comercial conforme a planilha modelo do Anexo IV — Planilha de Preços.</t>
        </is>
      </c>
      <c r="G11" s="4" t="inlineStr">
        <is>
          <t>Obrigatório (forma)</t>
        </is>
      </c>
      <c r="H11" s="4" t="inlineStr">
        <is>
          <t>Anexo IV NÃO RECEBIDO</t>
        </is>
      </c>
      <c r="I11" s="4" t="inlineStr">
        <is>
          <t>DOCUMENTO AUSENTE</t>
        </is>
      </c>
      <c r="J11" s="4" t="inlineStr">
        <is>
          <t>Alto</t>
        </is>
      </c>
      <c r="K11" s="12" t="inlineStr">
        <is>
          <t>Sim</t>
        </is>
      </c>
      <c r="L11" s="4" t="inlineStr">
        <is>
          <t>Não</t>
        </is>
      </c>
      <c r="M11" s="4" t="inlineStr">
        <is>
          <t>Pricing / Bid</t>
        </is>
      </c>
      <c r="N11" s="4" t="inlineStr">
        <is>
          <t>O Anexo IV não está entre os arquivos recebidos. Sem ele não se sabe a estrutura de preço (por usuário, por EPS, fixo mensal, setup), o que impede o pricing final.</t>
        </is>
      </c>
      <c r="O11" s="4" t="inlineStr">
        <is>
          <t>Baixar o Anexo IV no portal. Se não existir, pedir via Q&amp;A.</t>
        </is>
      </c>
      <c r="P11" s="4" t="inlineStr">
        <is>
          <t>PE-05</t>
        </is>
      </c>
      <c r="Q11" s="4" t="inlineStr">
        <is>
          <t>Aberto</t>
        </is>
      </c>
      <c r="R11" s="4" t="inlineStr"/>
      <c r="S11" s="4" t="inlineStr"/>
    </row>
    <row r="12">
      <c r="A12" s="4" t="inlineStr">
        <is>
          <t>PR-04</t>
        </is>
      </c>
      <c r="B12" s="4" t="inlineStr">
        <is>
          <t>Proposta (forma)</t>
        </is>
      </c>
      <c r="C12" s="4" t="inlineStr">
        <is>
          <t>Anexo II</t>
        </is>
      </c>
      <c r="D12" s="4" t="inlineStr">
        <is>
          <t>RFP (numeração)</t>
        </is>
      </c>
      <c r="E12" s="4" t="inlineStr"/>
      <c r="F12" s="4" t="inlineStr">
        <is>
          <t>O RFP menciona Anexos I, III e IV. O Anexo II não é citado nem foi recebido.</t>
        </is>
      </c>
      <c r="G12" s="4" t="inlineStr">
        <is>
          <t>Verificação</t>
        </is>
      </c>
      <c r="H12" s="4" t="inlineStr">
        <is>
          <t>Anexo II desconhecido</t>
        </is>
      </c>
      <c r="I12" s="4" t="inlineStr">
        <is>
          <t>DOCUMENTO AUSENTE / lacuna</t>
        </is>
      </c>
      <c r="J12" s="4" t="inlineStr">
        <is>
          <t>Médio</t>
        </is>
      </c>
      <c r="K12" s="4" t="inlineStr">
        <is>
          <t>Não</t>
        </is>
      </c>
      <c r="L12" s="12" t="inlineStr">
        <is>
          <t>Sim</t>
        </is>
      </c>
      <c r="M12" s="4" t="inlineStr">
        <is>
          <t>Bid / Jurídico</t>
        </is>
      </c>
      <c r="N12" s="4" t="inlineStr">
        <is>
          <t>Pode ser a minuta de contrato ou um modelo de atestado. Se for a minuta, é essencial para o jurídico.</t>
        </is>
      </c>
      <c r="O12" s="4" t="inlineStr">
        <is>
          <t>Confirmar no portal se existe Anexo II (minuta contratual?) e pedir o envio.</t>
        </is>
      </c>
      <c r="P12" s="4" t="inlineStr">
        <is>
          <t>PE-05</t>
        </is>
      </c>
      <c r="Q12" s="4" t="inlineStr">
        <is>
          <t>Aberto</t>
        </is>
      </c>
      <c r="R12" s="4" t="inlineStr"/>
      <c r="S12" s="4" t="inlineStr"/>
    </row>
    <row r="13">
      <c r="A13" s="4" t="inlineStr">
        <is>
          <t>PR-05</t>
        </is>
      </c>
      <c r="B13" s="4" t="inlineStr">
        <is>
          <t>Proposta (forma)</t>
        </is>
      </c>
      <c r="C13" s="4" t="inlineStr">
        <is>
          <t>Questionário técnico integral</t>
        </is>
      </c>
      <c r="D13" s="4" t="inlineStr">
        <is>
          <t>RFP 4.4</t>
        </is>
      </c>
      <c r="E13" s="4" t="inlineStr">
        <is>
          <t>XLSX aba Instruções</t>
        </is>
      </c>
      <c r="F13" s="4" t="inlineStr">
        <is>
          <t>O questionário deve ser integralmente preenchido. Instruções da planilha: 'o preenchimento de todas as abas é obrigatório; questionários incompletos serão desclassificados'.</t>
        </is>
      </c>
      <c r="G13" s="4" t="inlineStr">
        <is>
          <t>Eliminatório</t>
        </is>
      </c>
      <c r="H13" s="4" t="inlineStr">
        <is>
          <t>Preencher as colunas D e E de QT-01 a QT-06</t>
        </is>
      </c>
      <c r="I13" s="4" t="inlineStr">
        <is>
          <t>Ambiguidade ('todas as abas')</t>
        </is>
      </c>
      <c r="J13" s="4" t="inlineStr">
        <is>
          <t>Alto</t>
        </is>
      </c>
      <c r="K13" s="4" t="inlineStr">
        <is>
          <t>Não</t>
        </is>
      </c>
      <c r="L13" s="12" t="inlineStr">
        <is>
          <t>Sim</t>
        </is>
      </c>
      <c r="M13" s="4" t="inlineStr">
        <is>
          <t>Pré-vendas / Bid</t>
        </is>
      </c>
      <c r="N13" s="4" t="inlineStr">
        <is>
          <t>As abas 'Q&amp;A Rodada 1' e 'Pesos' (oculta) não são de preenchimento, mas a instrução diz 'todas as abas'. O risco de desclassificação é formal.</t>
        </is>
      </c>
      <c r="O13" s="4" t="inlineStr">
        <is>
          <t>Preencher todo o Questionário Técnico, inclusive Comentários. Não alterar as demais abas. Confirmar via Q&amp;A quais abas exigem preenchimento.</t>
        </is>
      </c>
      <c r="P13" s="4" t="inlineStr">
        <is>
          <t>PE-13</t>
        </is>
      </c>
      <c r="Q13" s="4" t="inlineStr">
        <is>
          <t>Aberto</t>
        </is>
      </c>
      <c r="R13" s="4" t="inlineStr"/>
      <c r="S13" s="4" t="inlineStr"/>
    </row>
    <row r="14">
      <c r="A14" s="4" t="inlineStr">
        <is>
          <t>PR-06</t>
        </is>
      </c>
      <c r="B14" s="4" t="inlineStr">
        <is>
          <t>Proposta (forma)</t>
        </is>
      </c>
      <c r="C14" s="4" t="inlineStr">
        <is>
          <t>Declaração de localização de dados (Anexo III)</t>
        </is>
      </c>
      <c r="D14" s="4" t="inlineStr">
        <is>
          <t>RFP p.6 (Anexo III, escaneado)</t>
        </is>
      </c>
      <c r="E14" s="4" t="inlineStr">
        <is>
          <t>RFP 5.1c; Q&amp;A #2</t>
        </is>
      </c>
      <c r="F14" s="4" t="inlineStr">
        <is>
          <t>Declaração assinada pelo representante legal: todos os dados do Banco, inclusive logs de segurança, serão armazenados e processados exclusivamente em território nacional durante toda a vigência. Deve ser entregue com a proposta, sob pena de inabilitação.</t>
        </is>
      </c>
      <c r="G14" s="4" t="inlineStr">
        <is>
          <t>Eliminatório</t>
        </is>
      </c>
      <c r="H14" s="4" t="inlineStr">
        <is>
          <t>Obrigatória: dados e logs só no Brasil</t>
        </is>
      </c>
      <c r="I14" s="4" t="inlineStr">
        <is>
          <t>CONFLITO com Anexo I 1.2 (nuvem em região livre)</t>
        </is>
      </c>
      <c r="J14" s="4" t="inlineStr">
        <is>
          <t>Alto</t>
        </is>
      </c>
      <c r="K14" s="12" t="inlineStr">
        <is>
          <t>Sim</t>
        </is>
      </c>
      <c r="L14" s="12" t="inlineStr">
        <is>
          <t>Sim</t>
        </is>
      </c>
      <c r="M14" s="4" t="inlineStr">
        <is>
          <t>Jurídico / Pré-vendas</t>
        </is>
      </c>
      <c r="N14" s="4" t="inlineStr">
        <is>
          <t>A declaração vincula toda a cadeia: SIEM em nuvem, backups, DR, threat intel e suporte do fabricante com acesso a dados. Assinar exige garantir que nenhum componente (inclusive telemetria do fabricante do SIEM) processe dados fora do Brasil. A página é imagem, sem texto extraível.</t>
        </is>
      </c>
      <c r="O14" s="4" t="inlineStr">
        <is>
          <t>Validar a arquitetura antes da assinatura: região Brasil do hyperscaler, DR no Brasil e suporte do fabricante sem acesso a dados fora do país. Colher a assinatura do representante legal com procuração válida.</t>
        </is>
      </c>
      <c r="P14" s="4" t="inlineStr">
        <is>
          <t>PE-06</t>
        </is>
      </c>
      <c r="Q14" s="4" t="inlineStr">
        <is>
          <t>Aberto</t>
        </is>
      </c>
      <c r="R14" s="4" t="inlineStr"/>
      <c r="S14" s="4" t="inlineStr"/>
    </row>
    <row r="15">
      <c r="A15" s="4" t="inlineStr">
        <is>
          <t>HB-01</t>
        </is>
      </c>
      <c r="B15" s="4" t="inlineStr">
        <is>
          <t>Habilitação</t>
        </is>
      </c>
      <c r="C15" s="4" t="inlineStr">
        <is>
          <t>ISO/IEC 27001</t>
        </is>
      </c>
      <c r="D15" s="4" t="inlineStr">
        <is>
          <t>RFP 5.1a</t>
        </is>
      </c>
      <c r="E15" s="4" t="inlineStr">
        <is>
          <t>QT-01 (obrigatório, peso 3)</t>
        </is>
      </c>
      <c r="F15" s="4" t="inlineStr">
        <is>
          <t>Certificado ISO/IEC 27001 vigente, emitido por organismo acreditado, com escopo que inclua os serviços de SOC.</t>
        </is>
      </c>
      <c r="G15" s="4" t="inlineStr">
        <is>
          <t>Eliminatório</t>
        </is>
      </c>
      <c r="H15" s="4" t="inlineStr">
        <is>
          <t>Obrigatório</t>
        </is>
      </c>
      <c r="I15" s="4" t="inlineStr">
        <is>
          <t>—</t>
        </is>
      </c>
      <c r="J15" s="4" t="inlineStr">
        <is>
          <t>Alto</t>
        </is>
      </c>
      <c r="K15" s="4" t="inlineStr">
        <is>
          <t>Não</t>
        </is>
      </c>
      <c r="L15" s="4" t="inlineStr">
        <is>
          <t>Não</t>
        </is>
      </c>
      <c r="M15" s="4" t="inlineStr">
        <is>
          <t>Compliance / Bid</t>
        </is>
      </c>
      <c r="N15" s="4" t="inlineStr">
        <is>
          <t>Checar a validade do certificado até a data de entrega e, de preferência, durante o contrato. O escopo tem de citar o SOC explicitamente.</t>
        </is>
      </c>
      <c r="O15" s="4" t="inlineStr">
        <is>
          <t>Separar o certificado e a declaração de escopo, e confirmar a acreditação do organismo.</t>
        </is>
      </c>
      <c r="P15" s="4" t="inlineStr">
        <is>
          <t>—</t>
        </is>
      </c>
      <c r="Q15" s="4" t="inlineStr">
        <is>
          <t>Aberto</t>
        </is>
      </c>
      <c r="R15" s="4" t="inlineStr"/>
      <c r="S15" s="4" t="inlineStr"/>
    </row>
    <row r="16">
      <c r="A16" s="4" t="inlineStr">
        <is>
          <t>HB-02</t>
        </is>
      </c>
      <c r="B16" s="4" t="inlineStr">
        <is>
          <t>Habilitação</t>
        </is>
      </c>
      <c r="C16" s="4" t="inlineStr">
        <is>
          <t>Atestados de capacidade técnica</t>
        </is>
      </c>
      <c r="D16" s="4" t="inlineStr">
        <is>
          <t>RFP 5.1b</t>
        </is>
      </c>
      <c r="E16" s="4" t="inlineStr"/>
      <c r="F16" s="4" t="inlineStr">
        <is>
          <t>No mínimo 3 atestados de serviços de SOC para instituições financeiras, com ambiente de no mínimo 2.000 usuários.</t>
        </is>
      </c>
      <c r="G16" s="4" t="inlineStr">
        <is>
          <t>Eliminatório</t>
        </is>
      </c>
      <c r="H16" s="4" t="inlineStr">
        <is>
          <t>≥3 atestados SOC / IF / ≥2.000 usuários</t>
        </is>
      </c>
      <c r="I16" s="4" t="inlineStr">
        <is>
          <t>Ambiguidade ('instituição financeira')</t>
        </is>
      </c>
      <c r="J16" s="4" t="inlineStr">
        <is>
          <t>Alto</t>
        </is>
      </c>
      <c r="K16" s="4" t="inlineStr">
        <is>
          <t>Não</t>
        </is>
      </c>
      <c r="L16" s="4" t="inlineStr">
        <is>
          <t>Não</t>
        </is>
      </c>
      <c r="M16" s="4" t="inlineStr">
        <is>
          <t>Bid / Comercial</t>
        </is>
      </c>
      <c r="N16" s="4" t="inlineStr">
        <is>
          <t>Não está claro se seguradoras, corretoras ou cooperativas contam como 'instituição financeira', nem se os atestados precisam ser de contratos vigentes.</t>
        </is>
      </c>
      <c r="O16" s="4" t="inlineStr">
        <is>
          <t>Levantar atestados elegíveis. Se houver dúvida sobre o enquadramento, perguntar via Q&amp;A.</t>
        </is>
      </c>
      <c r="P16" s="4" t="inlineStr">
        <is>
          <t>PE-15</t>
        </is>
      </c>
      <c r="Q16" s="4" t="inlineStr">
        <is>
          <t>Aberto</t>
        </is>
      </c>
      <c r="R16" s="4" t="inlineStr"/>
      <c r="S16" s="4" t="inlineStr"/>
    </row>
    <row r="17">
      <c r="A17" s="4" t="inlineStr">
        <is>
          <t>HB-03</t>
        </is>
      </c>
      <c r="B17" s="4" t="inlineStr">
        <is>
          <t>Habilitação</t>
        </is>
      </c>
      <c r="C17" s="4" t="inlineStr">
        <is>
          <t>SOC em território nacional</t>
        </is>
      </c>
      <c r="D17" s="4" t="inlineStr">
        <is>
          <t>RFP 5.1c</t>
        </is>
      </c>
      <c r="E17" s="4" t="inlineStr">
        <is>
          <t>Q&amp;A #2; Anexo III</t>
        </is>
      </c>
      <c r="F17" s="4" t="inlineStr">
        <is>
          <t>Comprovar que o SOC está localizado em território nacional. Q&amp;A #2: não é permitido operar o SOC a partir de outro país.</t>
        </is>
      </c>
      <c r="G17" s="4" t="inlineStr">
        <is>
          <t>Eliminatório</t>
        </is>
      </c>
      <c r="H17" s="4" t="inlineStr">
        <is>
          <t>SOC no Brasil (confirmado no Q&amp;A #2)</t>
        </is>
      </c>
      <c r="I17" s="4" t="inlineStr">
        <is>
          <t>Confirmado pelo Q&amp;A</t>
        </is>
      </c>
      <c r="J17" s="4" t="inlineStr">
        <is>
          <t>Alto</t>
        </is>
      </c>
      <c r="K17" s="12" t="inlineStr">
        <is>
          <t>Sim</t>
        </is>
      </c>
      <c r="L17" s="4" t="inlineStr">
        <is>
          <t>Não</t>
        </is>
      </c>
      <c r="M17" s="4" t="inlineStr">
        <is>
          <t>Pré-vendas / Bid</t>
        </is>
      </c>
      <c r="N17" s="4" t="inlineStr">
        <is>
          <t>Exclui follow-the-sun com centros no exterior. O RFP não define o meio de comprovação.</t>
        </is>
      </c>
      <c r="O17" s="4" t="inlineStr">
        <is>
          <t>Preparar a comprovação (endereço, contrato de locação, fotos, certificação do site).</t>
        </is>
      </c>
      <c r="P17" s="4" t="inlineStr">
        <is>
          <t>—</t>
        </is>
      </c>
      <c r="Q17" s="4" t="inlineStr">
        <is>
          <t>Aberto</t>
        </is>
      </c>
      <c r="R17" s="4" t="inlineStr"/>
      <c r="S17" s="4" t="inlineStr"/>
    </row>
    <row r="18">
      <c r="A18" s="4" t="inlineStr">
        <is>
          <t>HB-04</t>
        </is>
      </c>
      <c r="B18" s="4" t="inlineStr">
        <is>
          <t>Habilitação</t>
        </is>
      </c>
      <c r="C18" s="4" t="inlineStr">
        <is>
          <t>Equipe certificada</t>
        </is>
      </c>
      <c r="D18" s="4" t="inlineStr">
        <is>
          <t>RFP 5.2</t>
        </is>
      </c>
      <c r="E18" s="4" t="inlineStr">
        <is>
          <t>QT-06 (obrigatório, peso 2); Anexo I 5.1</t>
        </is>
      </c>
      <c r="F18" s="4" t="inlineStr">
        <is>
          <t>O proponente deverá possuir equipe técnica 'devidamente certificada'.</t>
        </is>
      </c>
      <c r="G18" s="4" t="inlineStr">
        <is>
          <t>Obrigatório (critério aberto)</t>
        </is>
      </c>
      <c r="H18" s="4" t="inlineStr">
        <is>
          <t>Certificações não especificadas</t>
        </is>
      </c>
      <c r="I18" s="4" t="inlineStr">
        <is>
          <t>Ambiguidade (critério subjetivo)</t>
        </is>
      </c>
      <c r="J18" s="4" t="inlineStr">
        <is>
          <t>Médio</t>
        </is>
      </c>
      <c r="K18" s="4" t="inlineStr">
        <is>
          <t>Não</t>
        </is>
      </c>
      <c r="L18" s="4" t="inlineStr">
        <is>
          <t>Não</t>
        </is>
      </c>
      <c r="M18" s="4" t="inlineStr">
        <is>
          <t>Pré-vendas / RH</t>
        </is>
      </c>
      <c r="N18" s="4" t="inlineStr">
        <is>
          <t>O texto não diz quais certificações nem quantos profissionais. Única exigência objetiva: coordenador com CISSP (EQ-01).</t>
        </is>
      </c>
      <c r="O18" s="4" t="inlineStr">
        <is>
          <t>Anexar a matriz de certificações da equipe (CISSP, GCIH, CEH, Security+, certificações dos fabricantes de SIEM e IAM).</t>
        </is>
      </c>
      <c r="P18" s="4" t="inlineStr">
        <is>
          <t>PE-15</t>
        </is>
      </c>
      <c r="Q18" s="4" t="inlineStr">
        <is>
          <t>Aberto</t>
        </is>
      </c>
      <c r="R18" s="4" t="inlineStr"/>
      <c r="S18" s="4" t="inlineStr"/>
    </row>
    <row r="19">
      <c r="A19" s="4" t="inlineStr">
        <is>
          <t>AV-01</t>
        </is>
      </c>
      <c r="B19" s="4" t="inlineStr">
        <is>
          <t>Avaliação</t>
        </is>
      </c>
      <c r="C19" s="4" t="inlineStr">
        <is>
          <t>Composição da nota final</t>
        </is>
      </c>
      <c r="D19" s="4" t="inlineStr">
        <is>
          <t>RFP 6.1</t>
        </is>
      </c>
      <c r="E19" s="4" t="inlineStr"/>
      <c r="F19" s="4" t="inlineStr">
        <is>
          <t>Nota final = Nota Técnica (peso 60%) + Nota de Preço (peso 40%).</t>
        </is>
      </c>
      <c r="G19" s="4" t="inlineStr">
        <is>
          <t>Critério</t>
        </is>
      </c>
      <c r="H19" s="4" t="inlineStr">
        <is>
          <t>60/40</t>
        </is>
      </c>
      <c r="I19" s="4" t="inlineStr">
        <is>
          <t>Ambiguidade (fórmula de preço)</t>
        </is>
      </c>
      <c r="J19" s="4" t="inlineStr">
        <is>
          <t>Médio</t>
        </is>
      </c>
      <c r="K19" s="12" t="inlineStr">
        <is>
          <t>Sim</t>
        </is>
      </c>
      <c r="L19" s="4" t="inlineStr">
        <is>
          <t>Não</t>
        </is>
      </c>
      <c r="M19" s="4" t="inlineStr">
        <is>
          <t>Pricing</t>
        </is>
      </c>
      <c r="N19" s="4" t="inlineStr">
        <is>
          <t>A fórmula da Nota de Preço não foi informada (proporcional ao menor preço? faixas?). Sem ela não dá para simular o trade-off entre preço e técnica.</t>
        </is>
      </c>
      <c r="O19" s="4" t="inlineStr">
        <is>
          <t>Pedir a fórmula da Nota de Preço.</t>
        </is>
      </c>
      <c r="P19" s="4" t="inlineStr">
        <is>
          <t>PE-07</t>
        </is>
      </c>
      <c r="Q19" s="4" t="inlineStr">
        <is>
          <t>Aberto</t>
        </is>
      </c>
      <c r="R19" s="4" t="inlineStr"/>
      <c r="S19" s="4" t="inlineStr"/>
    </row>
    <row r="20">
      <c r="A20" s="4" t="inlineStr">
        <is>
          <t>AV-02</t>
        </is>
      </c>
      <c r="B20" s="4" t="inlineStr">
        <is>
          <t>Avaliação</t>
        </is>
      </c>
      <c r="C20" s="4" t="inlineStr">
        <is>
          <t>Soma dos critérios técnicos</t>
        </is>
      </c>
      <c r="D20" s="4" t="inlineStr">
        <is>
          <t>RFP 6.2</t>
        </is>
      </c>
      <c r="E20" s="4" t="inlineStr"/>
      <c r="F20" s="4" t="inlineStr">
        <is>
          <t>Nota Técnica de no máximo 60 pontos, mas os critérios somam 65 (Metodologia 20 + Equipe 20 + Ferramentas 15 + Transição 10).</t>
        </is>
      </c>
      <c r="G20" s="4" t="inlineStr">
        <is>
          <t>Critério</t>
        </is>
      </c>
      <c r="H20" s="4" t="inlineStr">
        <is>
          <t>INDEFINIDO: 60 x 65</t>
        </is>
      </c>
      <c r="I20" s="4" t="inlineStr">
        <is>
          <t>INCONSISTÊNCIA interna do RFP</t>
        </is>
      </c>
      <c r="J20" s="4" t="inlineStr">
        <is>
          <t>Alto</t>
        </is>
      </c>
      <c r="K20" s="4" t="inlineStr">
        <is>
          <t>Não</t>
        </is>
      </c>
      <c r="L20" s="12" t="inlineStr">
        <is>
          <t>Sim</t>
        </is>
      </c>
      <c r="M20" s="4" t="inlineStr">
        <is>
          <t>Bid / Jurídico</t>
        </is>
      </c>
      <c r="N20" s="4" t="inlineStr">
        <is>
          <t>Erro aritmético no RFP. Afeta a nota de corte (AV-03) e a normalização da nota técnica.</t>
        </is>
      </c>
      <c r="O20" s="4" t="inlineStr">
        <is>
          <t>Pedir correção via Q&amp;A. Enquanto isso, mirar no corte mais exigente (45,5 pontos).</t>
        </is>
      </c>
      <c r="P20" s="4" t="inlineStr">
        <is>
          <t>PE-07</t>
        </is>
      </c>
      <c r="Q20" s="4" t="inlineStr">
        <is>
          <t>Aberto</t>
        </is>
      </c>
      <c r="R20" s="4" t="inlineStr"/>
      <c r="S20" s="4" t="inlineStr"/>
    </row>
    <row r="21">
      <c r="A21" s="4" t="inlineStr">
        <is>
          <t>AV-03</t>
        </is>
      </c>
      <c r="B21" s="4" t="inlineStr">
        <is>
          <t>Avaliação</t>
        </is>
      </c>
      <c r="C21" s="4" t="inlineStr">
        <is>
          <t>Nota técnica mínima</t>
        </is>
      </c>
      <c r="D21" s="4" t="inlineStr">
        <is>
          <t>RFP 6.3</t>
        </is>
      </c>
      <c r="E21" s="4" t="inlineStr">
        <is>
          <t>RFP 6.2</t>
        </is>
      </c>
      <c r="F21" s="4" t="inlineStr">
        <is>
          <t>Desclassificação se a Nota Técnica for menor que 70% da pontuação máxima.</t>
        </is>
      </c>
      <c r="G21" s="4" t="inlineStr">
        <is>
          <t>Eliminatório</t>
        </is>
      </c>
      <c r="H21" s="4" t="inlineStr">
        <is>
          <t>Corte de 42,0 pts (base 60) ou 45,5 pts (base 65)</t>
        </is>
      </c>
      <c r="I21" s="4" t="inlineStr">
        <is>
          <t>Depende de AV-02</t>
        </is>
      </c>
      <c r="J21" s="4" t="inlineStr">
        <is>
          <t>Alto</t>
        </is>
      </c>
      <c r="K21" s="4" t="inlineStr">
        <is>
          <t>Não</t>
        </is>
      </c>
      <c r="L21" s="4" t="inlineStr">
        <is>
          <t>Não</t>
        </is>
      </c>
      <c r="M21" s="4" t="inlineStr">
        <is>
          <t>Pré-vendas</t>
        </is>
      </c>
      <c r="N21" s="4" t="inlineStr">
        <is>
          <t>A penalidade oculta do questionário (AV-05) pode tirar até 4 pontos. Isso pesa numa margem estreita.</t>
        </is>
      </c>
      <c r="O21" s="4" t="inlineStr">
        <is>
          <t>Mirar em pelo menos 50 pontos. Ver a aba 'Pontuação'.</t>
        </is>
      </c>
      <c r="P21" s="4" t="inlineStr">
        <is>
          <t>PE-07</t>
        </is>
      </c>
      <c r="Q21" s="4" t="inlineStr">
        <is>
          <t>Aberto</t>
        </is>
      </c>
      <c r="R21" s="4" t="inlineStr"/>
      <c r="S21" s="4" t="inlineStr"/>
    </row>
    <row r="22">
      <c r="A22" s="4" t="inlineStr">
        <is>
          <t>AV-04</t>
        </is>
      </c>
      <c r="B22" s="4" t="inlineStr">
        <is>
          <t>Avaliação</t>
        </is>
      </c>
      <c r="C22" s="4" t="inlineStr">
        <is>
          <t>Desempate</t>
        </is>
      </c>
      <c r="D22" s="4" t="inlineStr">
        <is>
          <t>RFP 6.4</t>
        </is>
      </c>
      <c r="E22" s="4" t="inlineStr"/>
      <c r="F22" s="4" t="inlineStr">
        <is>
          <t>Em caso de empate, prevalece a proposta de menor preço.</t>
        </is>
      </c>
      <c r="G22" s="4" t="inlineStr">
        <is>
          <t>Critério</t>
        </is>
      </c>
      <c r="H22" s="4" t="inlineStr">
        <is>
          <t>Menor preço</t>
        </is>
      </c>
      <c r="I22" s="4" t="inlineStr">
        <is>
          <t>—</t>
        </is>
      </c>
      <c r="J22" s="4" t="inlineStr">
        <is>
          <t>Baixo</t>
        </is>
      </c>
      <c r="K22" s="12" t="inlineStr">
        <is>
          <t>Sim</t>
        </is>
      </c>
      <c r="L22" s="4" t="inlineStr">
        <is>
          <t>Não</t>
        </is>
      </c>
      <c r="M22" s="4" t="inlineStr">
        <is>
          <t>Pricing</t>
        </is>
      </c>
      <c r="N22" s="4" t="inlineStr">
        <is>
          <t>Reforça o peso do preço.</t>
        </is>
      </c>
      <c r="O22" s="4" t="inlineStr">
        <is>
          <t>—</t>
        </is>
      </c>
      <c r="P22" s="4" t="inlineStr">
        <is>
          <t>—</t>
        </is>
      </c>
      <c r="Q22" s="4" t="inlineStr">
        <is>
          <t>Aberto</t>
        </is>
      </c>
      <c r="R22" s="4" t="inlineStr"/>
      <c r="S22" s="4" t="inlineStr"/>
    </row>
    <row r="23">
      <c r="A23" s="4" t="inlineStr">
        <is>
          <t>AV-05</t>
        </is>
      </c>
      <c r="B23" s="4" t="inlineStr">
        <is>
          <t>Avaliação</t>
        </is>
      </c>
      <c r="C23" s="4" t="inlineStr">
        <is>
          <t>Pesos e penalidade ocultos no questionário</t>
        </is>
      </c>
      <c r="D23" s="4" t="inlineStr">
        <is>
          <t>XLSX aba 'Pesos' (OCULTA)</t>
        </is>
      </c>
      <c r="E23" s="4" t="inlineStr">
        <is>
          <t>Questionário QT-01 a QT-06</t>
        </is>
      </c>
      <c r="F23" s="4" t="inlineStr">
        <is>
          <t>Aba oculta com pesos (QT-01=3, QT-02=1, QT-03=2, QT-04=3, QT-05=2, QT-06=2) e a regra: 'requisitos não obrigatórios respondidos como Não atende reduzem a Nota Técnica em 2 pontos cada'.</t>
        </is>
      </c>
      <c r="G23" s="4" t="inlineStr">
        <is>
          <t>Critério (não divulgado no RFP)</t>
        </is>
      </c>
      <c r="H23" s="4" t="inlineStr">
        <is>
          <t>QT-02 (SOAR) e QT-05 (Threat Intel) = -2 pts cada se 'Não atende'</t>
        </is>
      </c>
      <c r="I23" s="4" t="inlineStr">
        <is>
          <t>CRITÉRIO OCULTO / não previsto no RFP</t>
        </is>
      </c>
      <c r="J23" s="4" t="inlineStr">
        <is>
          <t>Alto</t>
        </is>
      </c>
      <c r="K23" s="12" t="inlineStr">
        <is>
          <t>Sim</t>
        </is>
      </c>
      <c r="L23" s="12" t="inlineStr">
        <is>
          <t>Sim</t>
        </is>
      </c>
      <c r="M23" s="4" t="inlineStr">
        <is>
          <t>Pré-vendas / Pricing / Jurídico</t>
        </is>
      </c>
      <c r="N23" s="4" t="inlineStr">
        <is>
          <t>O critério não aparece nos itens 6.1 a 6.3. Requisitos 'não obrigatórios' acabam pontuando: deixar de oferecer SOAR ou threat intel custa até 4 pontos. A regra não diz o que acontece com 'Parcial'. Os pesos não têm uso explicado.</t>
        </is>
      </c>
      <c r="O23" s="4" t="inlineStr">
        <is>
          <t>Oferecer SOAR e threat intelligence (ao menos como 'Atende' com escopo básico, ou 'Parcial' bem justificado). Jurídico: avaliar se cabe questionar a transparência do critério. Pedir confirmação via Q&amp;A.</t>
        </is>
      </c>
      <c r="P23" s="4" t="inlineStr">
        <is>
          <t>PE-08</t>
        </is>
      </c>
      <c r="Q23" s="4" t="inlineStr">
        <is>
          <t>Aberto</t>
        </is>
      </c>
      <c r="R23" s="4" t="inlineStr"/>
      <c r="S23" s="4" t="inlineStr"/>
    </row>
    <row r="24">
      <c r="A24" s="4" t="inlineStr">
        <is>
          <t>AV-06</t>
        </is>
      </c>
      <c r="B24" s="4" t="inlineStr">
        <is>
          <t>Avaliação</t>
        </is>
      </c>
      <c r="C24" s="4" t="inlineStr">
        <is>
          <t>Detalhamento dos critérios técnicos</t>
        </is>
      </c>
      <c r="D24" s="4" t="inlineStr">
        <is>
          <t>RFP 6.2</t>
        </is>
      </c>
      <c r="E24" s="4" t="inlineStr"/>
      <c r="F24" s="4" t="inlineStr">
        <is>
          <t>Critérios sem rubrica: não se sabe como cada critério é pontuado.</t>
        </is>
      </c>
      <c r="G24" s="4" t="inlineStr">
        <is>
          <t>Critério</t>
        </is>
      </c>
      <c r="H24" s="4" t="inlineStr">
        <is>
          <t>Sem rubrica</t>
        </is>
      </c>
      <c r="I24" s="4" t="inlineStr">
        <is>
          <t>Ambiguidade</t>
        </is>
      </c>
      <c r="J24" s="4" t="inlineStr">
        <is>
          <t>Médio</t>
        </is>
      </c>
      <c r="K24" s="4" t="inlineStr">
        <is>
          <t>Não</t>
        </is>
      </c>
      <c r="L24" s="4" t="inlineStr">
        <is>
          <t>Não</t>
        </is>
      </c>
      <c r="M24" s="4" t="inlineStr">
        <is>
          <t>Pré-vendas</t>
        </is>
      </c>
      <c r="N24" s="4" t="inlineStr">
        <is>
          <t>A atribuição de nota fica subjetiva.</t>
        </is>
      </c>
      <c r="O24" s="4" t="inlineStr">
        <is>
          <t>Pedir a rubrica ou os subcritérios.</t>
        </is>
      </c>
      <c r="P24" s="4" t="inlineStr">
        <is>
          <t>PE-07</t>
        </is>
      </c>
      <c r="Q24" s="4" t="inlineStr">
        <is>
          <t>Aberto</t>
        </is>
      </c>
      <c r="R24" s="4" t="inlineStr"/>
      <c r="S24" s="4" t="inlineStr"/>
    </row>
    <row r="25">
      <c r="A25" s="4" t="inlineStr">
        <is>
          <t>TS-01</t>
        </is>
      </c>
      <c r="B25" s="4" t="inlineStr">
        <is>
          <t>Escopo SOC</t>
        </is>
      </c>
      <c r="C25" s="4" t="inlineStr">
        <is>
          <t>Monitoramento 24x7x365</t>
        </is>
      </c>
      <c r="D25" s="4" t="inlineStr">
        <is>
          <t>Anexo I 1.1</t>
        </is>
      </c>
      <c r="E25" s="4" t="inlineStr">
        <is>
          <t>RFP 2.1</t>
        </is>
      </c>
      <c r="F25" s="4" t="inlineStr">
        <is>
          <t>Monitoramento contínuo de eventos de segurança em regime 24x7x365.</t>
        </is>
      </c>
      <c r="G25" s="4" t="inlineStr">
        <is>
          <t>Obrigatório</t>
        </is>
      </c>
      <c r="H25" s="4" t="inlineStr">
        <is>
          <t>24x7x365</t>
        </is>
      </c>
      <c r="I25" s="4" t="inlineStr">
        <is>
          <t>—</t>
        </is>
      </c>
      <c r="J25" s="4" t="inlineStr">
        <is>
          <t>Médio</t>
        </is>
      </c>
      <c r="K25" s="12" t="inlineStr">
        <is>
          <t>Sim</t>
        </is>
      </c>
      <c r="L25" s="4" t="inlineStr">
        <is>
          <t>Não</t>
        </is>
      </c>
      <c r="M25" s="4" t="inlineStr">
        <is>
          <t>Pré-vendas / Pricing</t>
        </is>
      </c>
      <c r="N25" s="4" t="inlineStr">
        <is>
          <t>É a base de dimensionamento dos turnos (mínimo de 5 a 6 FTEs por posição 24x7).</t>
        </is>
      </c>
      <c r="O25" s="4" t="inlineStr">
        <is>
          <t>Dimensionar a escala com base em cerca de 1.200 alertas/dia (TS-07).</t>
        </is>
      </c>
      <c r="P25" s="4" t="inlineStr">
        <is>
          <t>—</t>
        </is>
      </c>
      <c r="Q25" s="4" t="inlineStr">
        <is>
          <t>Aberto</t>
        </is>
      </c>
      <c r="R25" s="4" t="inlineStr"/>
      <c r="S25" s="4" t="inlineStr"/>
    </row>
    <row r="26">
      <c r="A26" s="4" t="inlineStr">
        <is>
          <t>TS-02</t>
        </is>
      </c>
      <c r="B26" s="4" t="inlineStr">
        <is>
          <t>Escopo SOC</t>
        </is>
      </c>
      <c r="C26" s="4" t="inlineStr">
        <is>
          <t>SIEM fornecido pelo proponente / localização</t>
        </is>
      </c>
      <c r="D26" s="4" t="inlineStr">
        <is>
          <t>Anexo I 1.2</t>
        </is>
      </c>
      <c r="E26" s="4" t="inlineStr">
        <is>
          <t>Anexo III; RFP 1.2 (Res. CMN 4.893); QT-04</t>
        </is>
      </c>
      <c r="F26" s="4" t="inlineStr">
        <is>
          <t>O proponente fornece o SIEM, 'podendo ser disponibilizado em nuvem pública, em região de livre escolha do proponente'.</t>
        </is>
      </c>
      <c r="G26" s="4" t="inlineStr">
        <is>
          <t>Obrigatório</t>
        </is>
      </c>
      <c r="H26" s="4" t="inlineStr">
        <is>
          <t>SIEM do proponente, OBRIGATORIAMENTE em região no Brasil</t>
        </is>
      </c>
      <c r="I26" s="4" t="inlineStr">
        <is>
          <t>CONFLITO Anexo I 1.2 x Anexo III</t>
        </is>
      </c>
      <c r="J26" s="4" t="inlineStr">
        <is>
          <t>Alto</t>
        </is>
      </c>
      <c r="K26" s="12" t="inlineStr">
        <is>
          <t>Sim</t>
        </is>
      </c>
      <c r="L26" s="12" t="inlineStr">
        <is>
          <t>Sim</t>
        </is>
      </c>
      <c r="M26" s="4" t="inlineStr">
        <is>
          <t>Pré-vendas / Pricing / Jurídico</t>
        </is>
      </c>
      <c r="N26" s="4" t="inlineStr">
        <is>
          <t>A 'região de livre escolha' contradiz a declaração do Anexo III (dados e logs só no Brasil, sob pena de inabilitação). Prevalece a regra mais restritiva e eliminatória. Regiões no Brasil costumam custar mais, e alguns SIEM SaaS não têm instância no país.</t>
        </is>
      </c>
      <c r="O26" s="4" t="inlineStr">
        <is>
          <t>Arquitetar e precificar o SIEM 100% no Brasil (inclusive DR e backup). Responder QT-04 de forma coerente. Pedir confirmação via Q&amp;A.</t>
        </is>
      </c>
      <c r="P26" s="4" t="inlineStr">
        <is>
          <t>PE-06</t>
        </is>
      </c>
      <c r="Q26" s="4" t="inlineStr">
        <is>
          <t>Aberto</t>
        </is>
      </c>
      <c r="R26" s="4" t="inlineStr"/>
      <c r="S26" s="4" t="inlineStr"/>
    </row>
    <row r="27">
      <c r="A27" s="4" t="inlineStr">
        <is>
          <t>TS-03</t>
        </is>
      </c>
      <c r="B27" s="4" t="inlineStr">
        <is>
          <t>Escopo SOC</t>
        </is>
      </c>
      <c r="C27" s="4" t="inlineStr">
        <is>
          <t>Retenção de logs</t>
        </is>
      </c>
      <c r="D27" s="4" t="inlineStr">
        <is>
          <t>Anexo I 1.3</t>
        </is>
      </c>
      <c r="E27" s="4" t="inlineStr">
        <is>
          <t>Anexo I 1.6; QT-03</t>
        </is>
      </c>
      <c r="F27" s="4" t="inlineStr">
        <is>
          <t>1.3: logs retidos por no mínimo 12 meses. 1.6: para auditoria, logs mantidos por 5 anos. QT-03: 'retém os logs online por no mínimo 12 meses?'.</t>
        </is>
      </c>
      <c r="G27" s="4" t="inlineStr">
        <is>
          <t>Obrigatório</t>
        </is>
      </c>
      <c r="H27" s="4" t="inlineStr">
        <is>
          <t>Premissa: 12 meses online + 5 anos em arquivo (cold storage)</t>
        </is>
      </c>
      <c r="I27" s="4" t="inlineStr">
        <is>
          <t>CONFLITO interno do Anexo I (12 meses x 5 anos)</t>
        </is>
      </c>
      <c r="J27" s="4" t="inlineStr">
        <is>
          <t>Alto</t>
        </is>
      </c>
      <c r="K27" s="12" t="inlineStr">
        <is>
          <t>Sim</t>
        </is>
      </c>
      <c r="L27" s="12" t="inlineStr">
        <is>
          <t>Sim</t>
        </is>
      </c>
      <c r="M27" s="4" t="inlineStr">
        <is>
          <t>Pricing / Pré-vendas / Jurídico</t>
        </is>
      </c>
      <c r="N27" s="4" t="inlineStr">
        <is>
          <t>A leitura mais coerente com o QT-03 é 12 meses de retenção online (pesquisável) e 5 anos de arquivo. Não está definido: tempo de recuperação do arquivo, quem guarda os logs após o fim do contrato, se há devolução ao final e se os 5 anos correm durante ou após a vigência. O volume é desconhecido (EPS não informado: TS-04).</t>
        </is>
      </c>
      <c r="O27" s="4" t="inlineStr">
        <is>
          <t>Precificar armazenamento em camadas (hot 12 meses, cold 5 anos) com preço unitário por GB/TB excedente. Definir a devolução dos logs ao fim do contrato.</t>
        </is>
      </c>
      <c r="P27" s="4" t="inlineStr">
        <is>
          <t>PE-09</t>
        </is>
      </c>
      <c r="Q27" s="4" t="inlineStr">
        <is>
          <t>Aberto</t>
        </is>
      </c>
      <c r="R27" s="4" t="inlineStr"/>
      <c r="S27" s="4" t="inlineStr"/>
    </row>
    <row r="28">
      <c r="A28" s="4" t="inlineStr">
        <is>
          <t>TS-04</t>
        </is>
      </c>
      <c r="B28" s="4" t="inlineStr">
        <is>
          <t>Escopo SOC</t>
        </is>
      </c>
      <c r="C28" s="4" t="inlineStr">
        <is>
          <t>Integração do SIEM com 'todos os ativos relevantes' / volumetria</t>
        </is>
      </c>
      <c r="D28" s="4" t="inlineStr">
        <is>
          <t>Anexo I 1.4</t>
        </is>
      </c>
      <c r="E28" s="4" t="inlineStr">
        <is>
          <t>Q&amp;A #3; PPTX slide 2</t>
        </is>
      </c>
      <c r="F28" s="4" t="inlineStr">
        <is>
          <t>SIEM integrado a todos os ativos relevantes. Q&amp;A #3: a volumetria (EPS) será informada somente ao vencedor. PPTX: 850 servidores (70% Windows, 30% Linux), 2 data centers (SP e Campinas) e 2 nuvens públicas.</t>
        </is>
      </c>
      <c r="G28" s="4" t="inlineStr">
        <is>
          <t>Obrigatório</t>
        </is>
      </c>
      <c r="H28" s="4" t="inlineStr">
        <is>
          <t>Escopo aberto; EPS desconhecido</t>
        </is>
      </c>
      <c r="I28" s="4" t="inlineStr">
        <is>
          <t>Ambiguidade crítica (escopo e volumetria)</t>
        </is>
      </c>
      <c r="J28" s="4" t="inlineStr">
        <is>
          <t>Alto</t>
        </is>
      </c>
      <c r="K28" s="12" t="inlineStr">
        <is>
          <t>Sim</t>
        </is>
      </c>
      <c r="L28" s="12" t="inlineStr">
        <is>
          <t>Sim</t>
        </is>
      </c>
      <c r="M28" s="4" t="inlineStr">
        <is>
          <t>Pricing / Pré-vendas / Jurídico</t>
        </is>
      </c>
      <c r="N28" s="4" t="inlineStr">
        <is>
          <t>Licenças de SIEM e armazenamento costumam ser cobrados por EPS ou GB/dia. Sem a volumetria, o preço fixo carrega um risco ilimitado de sobrecusto. 'Ativos relevantes' não está definido: não se sabe se inclui estações, rede, aplicações, SaaS ou subsidiárias.</t>
        </is>
      </c>
      <c r="O28" s="4" t="inlineStr">
        <is>
          <t>Declarar uma premissa de EPS e GB/dia estimados (ex.: com base em 850 servidores, 2 DCs e 2 nuvens), com faixa contratada e preço unitário por excedente. Definir a lista de fontes de log no anexo da proposta. Insistir na volumetria via Q&amp;A.</t>
        </is>
      </c>
      <c r="P28" s="4" t="inlineStr">
        <is>
          <t>PE-10</t>
        </is>
      </c>
      <c r="Q28" s="4" t="inlineStr">
        <is>
          <t>Aberto</t>
        </is>
      </c>
      <c r="R28" s="4" t="inlineStr"/>
      <c r="S28" s="4" t="inlineStr"/>
    </row>
    <row r="29">
      <c r="A29" s="4" t="inlineStr">
        <is>
          <t>TS-05</t>
        </is>
      </c>
      <c r="B29" s="4" t="inlineStr">
        <is>
          <t>Escopo SOC</t>
        </is>
      </c>
      <c r="C29" s="4" t="inlineStr">
        <is>
          <t>Resposta a incidentes</t>
        </is>
      </c>
      <c r="D29" s="4" t="inlineStr">
        <is>
          <t>Anexo I 1.5</t>
        </is>
      </c>
      <c r="E29" s="4" t="inlineStr">
        <is>
          <t>Anexo I 6.1</t>
        </is>
      </c>
      <c r="F29" s="4" t="inlineStr">
        <is>
          <t>Resposta a incidentes, incluindo contenção, erradicação e relatório pós-incidente.</t>
        </is>
      </c>
      <c r="G29" s="4" t="inlineStr">
        <is>
          <t>Obrigatório</t>
        </is>
      </c>
      <c r="H29" s="4" t="inlineStr">
        <is>
          <t>IR incluso</t>
        </is>
      </c>
      <c r="I29" s="4" t="inlineStr">
        <is>
          <t>Ambiguidade (limites do IR)</t>
        </is>
      </c>
      <c r="J29" s="4" t="inlineStr">
        <is>
          <t>Alto</t>
        </is>
      </c>
      <c r="K29" s="12" t="inlineStr">
        <is>
          <t>Sim</t>
        </is>
      </c>
      <c r="L29" s="12" t="inlineStr">
        <is>
          <t>Sim</t>
        </is>
      </c>
      <c r="M29" s="4" t="inlineStr">
        <is>
          <t>Pré-vendas / Pricing / Jurídico</t>
        </is>
      </c>
      <c r="N29" s="4" t="inlineStr">
        <is>
          <t>Não há limites: não se sabe se o atendimento é remoto ou presencial, se inclui forense e recuperação, nem quantas horas ou incidentes estão cobertos. Somado à responsabilidade ilimitada (CT-05), executar contenção e erradicação aumenta a exposição.</t>
        </is>
      </c>
      <c r="O29" s="4" t="inlineStr">
        <is>
          <t>Definir o escopo de IR (remoto, banco de horas, forense como opcional) e as responsabilidades de cada parte em matriz RACI.</t>
        </is>
      </c>
      <c r="P29" s="4" t="inlineStr">
        <is>
          <t>PE-11</t>
        </is>
      </c>
      <c r="Q29" s="4" t="inlineStr">
        <is>
          <t>Aberto</t>
        </is>
      </c>
      <c r="R29" s="4" t="inlineStr"/>
      <c r="S29" s="4" t="inlineStr"/>
    </row>
    <row r="30">
      <c r="A30" s="4" t="inlineStr">
        <is>
          <t>TS-06</t>
        </is>
      </c>
      <c r="B30" s="4" t="inlineStr">
        <is>
          <t>Escopo SOC</t>
        </is>
      </c>
      <c r="C30" s="4" t="inlineStr">
        <is>
          <t>Migração de 24 meses de logs históricos</t>
        </is>
      </c>
      <c r="D30" s="4" t="inlineStr">
        <is>
          <t>PPTX slide 5</t>
        </is>
      </c>
      <c r="E30" s="4" t="inlineStr">
        <is>
          <t>Anexo I 1.3/1.6; PPTX slide 3</t>
        </is>
      </c>
      <c r="F30" s="4" t="inlineStr">
        <is>
          <t>Expectativa apresentada no workshop: migrar 24 meses de logs históricos do SIEM legado para a nova plataforma.</t>
        </is>
      </c>
      <c r="G30" s="4" t="inlineStr">
        <is>
          <t>Expectativa (não formalizada)</t>
        </is>
      </c>
      <c r="H30" s="4" t="inlineStr">
        <is>
          <t>Fora do RFP/Anexo I: tratar como opcional</t>
        </is>
      </c>
      <c r="I30" s="4" t="inlineStr">
        <is>
          <t>ESCOPO NÃO FORMALIZADO</t>
        </is>
      </c>
      <c r="J30" s="4" t="inlineStr">
        <is>
          <t>Alto</t>
        </is>
      </c>
      <c r="K30" s="12" t="inlineStr">
        <is>
          <t>Sim</t>
        </is>
      </c>
      <c r="L30" s="12" t="inlineStr">
        <is>
          <t>Sim</t>
        </is>
      </c>
      <c r="M30" s="4" t="inlineStr">
        <is>
          <t>Pricing / Pré-vendas</t>
        </is>
      </c>
      <c r="N30" s="4" t="inlineStr">
        <is>
          <t>Não consta no RFP nem no Anexo I. O volume é desconhecido e a migração depende do fornecedor e do formato do SIEM legado, cujo contrato acaba em 31/01/2027. Se virar obrigação depois, gera custo não precificado.</t>
        </is>
      </c>
      <c r="O30" s="4" t="inlineStr">
        <is>
          <t>Perguntar via Q&amp;A se faz parte do escopo. Cotar como item opcional e separado, com premissas de volume e formato e com a cooperação do fornecedor atual.</t>
        </is>
      </c>
      <c r="P30" s="4" t="inlineStr">
        <is>
          <t>PE-02</t>
        </is>
      </c>
      <c r="Q30" s="4" t="inlineStr">
        <is>
          <t>Aberto</t>
        </is>
      </c>
      <c r="R30" s="4" t="inlineStr"/>
      <c r="S30" s="4" t="inlineStr"/>
    </row>
    <row r="31">
      <c r="A31" s="4" t="inlineStr">
        <is>
          <t>TS-07</t>
        </is>
      </c>
      <c r="B31" s="4" t="inlineStr">
        <is>
          <t>Escopo SOC</t>
        </is>
      </c>
      <c r="C31" s="4" t="inlineStr">
        <is>
          <t>Meta de falsos positivos</t>
        </is>
      </c>
      <c r="D31" s="4" t="inlineStr">
        <is>
          <t>PPTX slide 4</t>
        </is>
      </c>
      <c r="E31" s="4" t="inlineStr">
        <is>
          <t>Anexo I 2</t>
        </is>
      </c>
      <c r="F31" s="4" t="inlineStr">
        <is>
          <t>Hoje são cerca de 1.200 alertas/dia e 70% de falsos positivos. Meta: 10% de falsos positivos no primeiro trimestre de operação.</t>
        </is>
      </c>
      <c r="G31" s="4" t="inlineStr">
        <is>
          <t>Expectativa (não formalizada)</t>
        </is>
      </c>
      <c r="H31" s="4" t="inlineStr">
        <is>
          <t>Não é SLA contratual (não consta no Anexo I 2)</t>
        </is>
      </c>
      <c r="I31" s="4" t="inlineStr">
        <is>
          <t>Expectativa x SLA</t>
        </is>
      </c>
      <c r="J31" s="4" t="inlineStr">
        <is>
          <t>Médio</t>
        </is>
      </c>
      <c r="K31" s="12" t="inlineStr">
        <is>
          <t>Sim</t>
        </is>
      </c>
      <c r="L31" s="12" t="inlineStr">
        <is>
          <t>Sim</t>
        </is>
      </c>
      <c r="M31" s="4" t="inlineStr">
        <is>
          <t>Pré-vendas / Jurídico</t>
        </is>
      </c>
      <c r="N31" s="4" t="inlineStr">
        <is>
          <t>Sair de 70% para 10% em 3 meses é agressivo, depende do tuning e da cooperação do banco e pode virar critério de aceite informal. Se for incluída como SLA, incide multa de 10% (CT-04).</t>
        </is>
      </c>
      <c r="O31" s="4" t="inlineStr">
        <is>
          <t>Apresentar a redução de falsos positivos como plano de tuning progressivo, sem compromisso contratual de 10% no primeiro trimestre. Pedir confirmação de que não é SLA.</t>
        </is>
      </c>
      <c r="P31" s="4" t="inlineStr">
        <is>
          <t>PE-02</t>
        </is>
      </c>
      <c r="Q31" s="4" t="inlineStr">
        <is>
          <t>Aberto</t>
        </is>
      </c>
      <c r="R31" s="4" t="inlineStr"/>
      <c r="S31" s="4" t="inlineStr"/>
    </row>
    <row r="32">
      <c r="A32" s="4" t="inlineStr">
        <is>
          <t>TS-08</t>
        </is>
      </c>
      <c r="B32" s="4" t="inlineStr">
        <is>
          <t>Escopo SOC</t>
        </is>
      </c>
      <c r="C32" s="4" t="inlineStr">
        <is>
          <t>Visão unificada de riscos para a diretoria</t>
        </is>
      </c>
      <c r="D32" s="4" t="inlineStr">
        <is>
          <t>PPTX slide 5</t>
        </is>
      </c>
      <c r="E32" s="4" t="inlineStr"/>
      <c r="F32" s="4" t="inlineStr">
        <is>
          <t>Expectativa: visão unificada de riscos para a diretoria.</t>
        </is>
      </c>
      <c r="G32" s="4" t="inlineStr">
        <is>
          <t>Expectativa (não formalizada)</t>
        </is>
      </c>
      <c r="H32" s="4" t="inlineStr">
        <is>
          <t>Escopo não especificado</t>
        </is>
      </c>
      <c r="I32" s="4" t="inlineStr">
        <is>
          <t>Ambiguidade</t>
        </is>
      </c>
      <c r="J32" s="4" t="inlineStr">
        <is>
          <t>Baixo</t>
        </is>
      </c>
      <c r="K32" s="12" t="inlineStr">
        <is>
          <t>Sim</t>
        </is>
      </c>
      <c r="L32" s="4" t="inlineStr">
        <is>
          <t>Não</t>
        </is>
      </c>
      <c r="M32" s="4" t="inlineStr">
        <is>
          <t>Pré-vendas</t>
        </is>
      </c>
      <c r="N32" s="4" t="inlineStr">
        <is>
          <t>Pode significar dashboard executivo ou GRC. Não está especificado.</t>
        </is>
      </c>
      <c r="O32" s="4" t="inlineStr">
        <is>
          <t>Oferecer dashboard executivo dentro do relatório mensal (SL-03) e deixar GRC como opcional.</t>
        </is>
      </c>
      <c r="P32" s="4" t="inlineStr">
        <is>
          <t>PE-02</t>
        </is>
      </c>
      <c r="Q32" s="4" t="inlineStr">
        <is>
          <t>Aberto</t>
        </is>
      </c>
      <c r="R32" s="4" t="inlineStr"/>
      <c r="S32" s="4" t="inlineStr"/>
    </row>
    <row r="33">
      <c r="A33" s="4" t="inlineStr">
        <is>
          <t>TS-09</t>
        </is>
      </c>
      <c r="B33" s="4" t="inlineStr">
        <is>
          <t>Escopo SOC</t>
        </is>
      </c>
      <c r="C33" s="4" t="inlineStr">
        <is>
          <t>SOAR</t>
        </is>
      </c>
      <c r="D33" s="4" t="inlineStr">
        <is>
          <t>QT-02 (não obrigatório, peso 1)</t>
        </is>
      </c>
      <c r="E33" s="4" t="inlineStr">
        <is>
          <t>Aba Pesos</t>
        </is>
      </c>
      <c r="F33" s="4" t="inlineStr">
        <is>
          <t>Integração nativa com plataforma SOAR.</t>
        </is>
      </c>
      <c r="G33" s="4" t="inlineStr">
        <is>
          <t>Desejável (pontuável/penalizável)</t>
        </is>
      </c>
      <c r="H33" s="4" t="inlineStr">
        <is>
          <t>Oferecer: 'Não atende' = -2 pts</t>
        </is>
      </c>
      <c r="I33" s="4" t="inlineStr">
        <is>
          <t>Ver AV-05</t>
        </is>
      </c>
      <c r="J33" s="4" t="inlineStr">
        <is>
          <t>Médio</t>
        </is>
      </c>
      <c r="K33" s="12" t="inlineStr">
        <is>
          <t>Sim</t>
        </is>
      </c>
      <c r="L33" s="4" t="inlineStr">
        <is>
          <t>Não</t>
        </is>
      </c>
      <c r="M33" s="4" t="inlineStr">
        <is>
          <t>Pré-vendas / Pricing</t>
        </is>
      </c>
      <c r="N33" s="4" t="inlineStr">
        <is>
          <t>Não consta no Anexo I, mas é penalizado se não for atendido. Também ajuda a cumprir o SLA de 15 minutos e a meta de falsos positivos.</t>
        </is>
      </c>
      <c r="O33" s="4" t="inlineStr">
        <is>
          <t>Incluir SOAR (nativo do SIEM ou ferramenta própria) no preço base.</t>
        </is>
      </c>
      <c r="P33" s="4" t="inlineStr">
        <is>
          <t>PE-08</t>
        </is>
      </c>
      <c r="Q33" s="4" t="inlineStr">
        <is>
          <t>Aberto</t>
        </is>
      </c>
      <c r="R33" s="4" t="inlineStr"/>
      <c r="S33" s="4" t="inlineStr"/>
    </row>
    <row r="34">
      <c r="A34" s="4" t="inlineStr">
        <is>
          <t>TS-10</t>
        </is>
      </c>
      <c r="B34" s="4" t="inlineStr">
        <is>
          <t>Escopo SOC</t>
        </is>
      </c>
      <c r="C34" s="4" t="inlineStr">
        <is>
          <t>Threat intelligence</t>
        </is>
      </c>
      <c r="D34" s="4" t="inlineStr">
        <is>
          <t>QT-05 (não obrigatório, peso 2)</t>
        </is>
      </c>
      <c r="E34" s="4" t="inlineStr">
        <is>
          <t>Aba Pesos</t>
        </is>
      </c>
      <c r="F34" s="4" t="inlineStr">
        <is>
          <t>Serviço de threat intelligence.</t>
        </is>
      </c>
      <c r="G34" s="4" t="inlineStr">
        <is>
          <t>Desejável (pontuável/penalizável)</t>
        </is>
      </c>
      <c r="H34" s="4" t="inlineStr">
        <is>
          <t>Oferecer: 'Não atende' = -2 pts</t>
        </is>
      </c>
      <c r="I34" s="4" t="inlineStr">
        <is>
          <t>Ver AV-05</t>
        </is>
      </c>
      <c r="J34" s="4" t="inlineStr">
        <is>
          <t>Médio</t>
        </is>
      </c>
      <c r="K34" s="12" t="inlineStr">
        <is>
          <t>Sim</t>
        </is>
      </c>
      <c r="L34" s="12" t="inlineStr">
        <is>
          <t>Sim</t>
        </is>
      </c>
      <c r="M34" s="4" t="inlineStr">
        <is>
          <t>Pré-vendas / Pricing</t>
        </is>
      </c>
      <c r="N34" s="4" t="inlineStr">
        <is>
          <t>Não consta no Anexo I. Feeds de threat intel podem processar dados fora do Brasil, o que conflita com o Anexo III.</t>
        </is>
      </c>
      <c r="O34" s="4" t="inlineStr">
        <is>
          <t>Incluir threat intel (feeds e boletins) com garantia de que os dados do banco não saem do país.</t>
        </is>
      </c>
      <c r="P34" s="4" t="inlineStr">
        <is>
          <t>PE-08</t>
        </is>
      </c>
      <c r="Q34" s="4" t="inlineStr">
        <is>
          <t>Aberto</t>
        </is>
      </c>
      <c r="R34" s="4" t="inlineStr"/>
      <c r="S34" s="4" t="inlineStr"/>
    </row>
    <row r="35">
      <c r="A35" s="4" t="inlineStr">
        <is>
          <t>SL-01</t>
        </is>
      </c>
      <c r="B35" s="4" t="inlineStr">
        <is>
          <t>SLA</t>
        </is>
      </c>
      <c r="C35" s="4" t="inlineStr">
        <is>
          <t>Início de tratamento de incidentes críticos</t>
        </is>
      </c>
      <c r="D35" s="4" t="inlineStr">
        <is>
          <t>Anexo I 2.1</t>
        </is>
      </c>
      <c r="E35" s="4" t="inlineStr">
        <is>
          <t>RFP 7.4</t>
        </is>
      </c>
      <c r="F35" s="4" t="inlineStr">
        <is>
          <t>Tempo máximo de 15 minutos para iniciar o tratamento de incidentes críticos.</t>
        </is>
      </c>
      <c r="G35" s="4" t="inlineStr">
        <is>
          <t>Obrigatório (SLA)</t>
        </is>
      </c>
      <c r="H35" s="4" t="inlineStr">
        <is>
          <t>15 min</t>
        </is>
      </c>
      <c r="I35" s="4" t="inlineStr">
        <is>
          <t>—</t>
        </is>
      </c>
      <c r="J35" s="4" t="inlineStr">
        <is>
          <t>Alto</t>
        </is>
      </c>
      <c r="K35" s="12" t="inlineStr">
        <is>
          <t>Sim</t>
        </is>
      </c>
      <c r="L35" s="12" t="inlineStr">
        <is>
          <t>Sim</t>
        </is>
      </c>
      <c r="M35" s="4" t="inlineStr">
        <is>
          <t>Pré-vendas / Jurídico</t>
        </is>
      </c>
      <c r="N35" s="4" t="inlineStr">
        <is>
          <t>Cada violação gera multa de 10% do valor mensal (CT-04). Não está definido o marco inicial: detecção, alerta ou abertura do chamado.</t>
        </is>
      </c>
      <c r="O35" s="4" t="inlineStr">
        <is>
          <t>Definir o marco de início e de 'início do tratamento'. Dimensionar o N2 de plantão.</t>
        </is>
      </c>
      <c r="P35" s="4" t="inlineStr">
        <is>
          <t>PE-12</t>
        </is>
      </c>
      <c r="Q35" s="4" t="inlineStr">
        <is>
          <t>Aberto</t>
        </is>
      </c>
      <c r="R35" s="4" t="inlineStr"/>
      <c r="S35" s="4" t="inlineStr"/>
    </row>
    <row r="36">
      <c r="A36" s="4" t="inlineStr">
        <is>
          <t>SL-02</t>
        </is>
      </c>
      <c r="B36" s="4" t="inlineStr">
        <is>
          <t>SLA</t>
        </is>
      </c>
      <c r="C36" s="4" t="inlineStr">
        <is>
          <t>Disponibilidade do SIEM</t>
        </is>
      </c>
      <c r="D36" s="4" t="inlineStr">
        <is>
          <t>Anexo I 2.2</t>
        </is>
      </c>
      <c r="E36" s="4" t="inlineStr">
        <is>
          <t>RFP 7.4</t>
        </is>
      </c>
      <c r="F36" s="4" t="inlineStr">
        <is>
          <t>Disponibilidade mínima mensal de 99,9% da plataforma SIEM.</t>
        </is>
      </c>
      <c r="G36" s="4" t="inlineStr">
        <is>
          <t>Obrigatório (SLA)</t>
        </is>
      </c>
      <c r="H36" s="4" t="inlineStr">
        <is>
          <t>99,9% mensal (~43 min/mês)</t>
        </is>
      </c>
      <c r="I36" s="4" t="inlineStr">
        <is>
          <t>—</t>
        </is>
      </c>
      <c r="J36" s="4" t="inlineStr">
        <is>
          <t>Médio</t>
        </is>
      </c>
      <c r="K36" s="12" t="inlineStr">
        <is>
          <t>Sim</t>
        </is>
      </c>
      <c r="L36" s="12" t="inlineStr">
        <is>
          <t>Sim</t>
        </is>
      </c>
      <c r="M36" s="4" t="inlineStr">
        <is>
          <t>Pré-vendas / Jurídico</t>
        </is>
      </c>
      <c r="N36" s="4" t="inlineStr">
        <is>
          <t>Depende do SLA do provedor de nuvem e do fabricante. Não define janelas de manutenção nem exclusões.</t>
        </is>
      </c>
      <c r="O36" s="4" t="inlineStr">
        <is>
          <t>Prever exclusões (manutenção programada, força maior, falhas do Contratante) e alinhar com o SLA do hyperscaler.</t>
        </is>
      </c>
      <c r="P36" s="4" t="inlineStr">
        <is>
          <t>PE-12</t>
        </is>
      </c>
      <c r="Q36" s="4" t="inlineStr">
        <is>
          <t>Aberto</t>
        </is>
      </c>
      <c r="R36" s="4" t="inlineStr"/>
      <c r="S36" s="4" t="inlineStr"/>
    </row>
    <row r="37">
      <c r="A37" s="4" t="inlineStr">
        <is>
          <t>SL-03</t>
        </is>
      </c>
      <c r="B37" s="4" t="inlineStr">
        <is>
          <t>SLA</t>
        </is>
      </c>
      <c r="C37" s="4" t="inlineStr">
        <is>
          <t>Relatório mensal</t>
        </is>
      </c>
      <c r="D37" s="4" t="inlineStr">
        <is>
          <t>Anexo I 2.3</t>
        </is>
      </c>
      <c r="E37" s="4" t="inlineStr">
        <is>
          <t>RFP 7.4</t>
        </is>
      </c>
      <c r="F37" s="4" t="inlineStr">
        <is>
          <t>Relatório mensal de indicadores até o 5º dia útil do mês seguinte.</t>
        </is>
      </c>
      <c r="G37" s="4" t="inlineStr">
        <is>
          <t>Obrigatório (SLA)</t>
        </is>
      </c>
      <c r="H37" s="4" t="inlineStr">
        <is>
          <t>5º dia útil</t>
        </is>
      </c>
      <c r="I37" s="4" t="inlineStr">
        <is>
          <t>—</t>
        </is>
      </c>
      <c r="J37" s="4" t="inlineStr">
        <is>
          <t>Baixo</t>
        </is>
      </c>
      <c r="K37" s="4" t="inlineStr">
        <is>
          <t>Não</t>
        </is>
      </c>
      <c r="L37" s="12" t="inlineStr">
        <is>
          <t>Sim</t>
        </is>
      </c>
      <c r="M37" s="4" t="inlineStr">
        <is>
          <t>Pré-vendas</t>
        </is>
      </c>
      <c r="N37" s="4" t="inlineStr">
        <is>
          <t>Um atraso, mesmo pequeno, gera multa de 10% (CT-04), uma penalidade desproporcional.</t>
        </is>
      </c>
      <c r="O37" s="4" t="inlineStr">
        <is>
          <t>Automatizar o relatório. Pedir multas graduadas por tipo de SLA.</t>
        </is>
      </c>
      <c r="P37" s="4" t="inlineStr">
        <is>
          <t>PE-12</t>
        </is>
      </c>
      <c r="Q37" s="4" t="inlineStr">
        <is>
          <t>Aberto</t>
        </is>
      </c>
      <c r="R37" s="4" t="inlineStr"/>
      <c r="S37" s="4" t="inlineStr"/>
    </row>
    <row r="38">
      <c r="A38" s="4" t="inlineStr">
        <is>
          <t>SL-04</t>
        </is>
      </c>
      <c r="B38" s="4" t="inlineStr">
        <is>
          <t>SLA</t>
        </is>
      </c>
      <c r="C38" s="4" t="inlineStr">
        <is>
          <t>Classificação de criticidade</t>
        </is>
      </c>
      <c r="D38" s="4" t="inlineStr">
        <is>
          <t>Anexo I 2.4</t>
        </is>
      </c>
      <c r="E38" s="4" t="inlineStr"/>
      <c r="F38" s="4" t="inlineStr">
        <is>
          <t>A criticidade dos incidentes segue a matriz de classificação do Contratante.</t>
        </is>
      </c>
      <c r="G38" s="4" t="inlineStr">
        <is>
          <t>Obrigatório</t>
        </is>
      </c>
      <c r="H38" s="4" t="inlineStr">
        <is>
          <t>Matriz não fornecida</t>
        </is>
      </c>
      <c r="I38" s="4" t="inlineStr">
        <is>
          <t>Ambiguidade (matriz desconhecida)</t>
        </is>
      </c>
      <c r="J38" s="4" t="inlineStr">
        <is>
          <t>Alto</t>
        </is>
      </c>
      <c r="K38" s="12" t="inlineStr">
        <is>
          <t>Sim</t>
        </is>
      </c>
      <c r="L38" s="12" t="inlineStr">
        <is>
          <t>Sim</t>
        </is>
      </c>
      <c r="M38" s="4" t="inlineStr">
        <is>
          <t>Pré-vendas / Jurídico</t>
        </is>
      </c>
      <c r="N38" s="4" t="inlineStr">
        <is>
          <t>O Contratante define sozinho o que é 'crítico' e, com isso, o volume de SLA de 15 minutos e de multas.</t>
        </is>
      </c>
      <c r="O38" s="4" t="inlineStr">
        <is>
          <t>Pedir a matriz. Propor que a classificação seja acordada na transição e que mudanças passem por governança.</t>
        </is>
      </c>
      <c r="P38" s="4" t="inlineStr">
        <is>
          <t>PE-12</t>
        </is>
      </c>
      <c r="Q38" s="4" t="inlineStr">
        <is>
          <t>Aberto</t>
        </is>
      </c>
      <c r="R38" s="4" t="inlineStr"/>
      <c r="S38" s="4" t="inlineStr"/>
    </row>
    <row r="39">
      <c r="A39" s="4" t="inlineStr">
        <is>
          <t>IA-01</t>
        </is>
      </c>
      <c r="B39" s="4" t="inlineStr">
        <is>
          <t>Escopo IAM</t>
        </is>
      </c>
      <c r="C39" s="4" t="inlineStr">
        <is>
          <t>Ciclo de vida de identidades / revogação em 24h</t>
        </is>
      </c>
      <c r="D39" s="4" t="inlineStr">
        <is>
          <t>Anexo I 3.1</t>
        </is>
      </c>
      <c r="E39" s="4" t="inlineStr">
        <is>
          <t>PPTX slide 3</t>
        </is>
      </c>
      <c r="F39" s="4" t="inlineStr">
        <is>
          <t>Gestão de admissão, movimentação e desligamento, com revogação dos acessos de desligados em até 24 horas. Ambiente atual: Active Directory + scripts internos.</t>
        </is>
      </c>
      <c r="G39" s="4" t="inlineStr">
        <is>
          <t>Obrigatório</t>
        </is>
      </c>
      <c r="H39" s="4" t="inlineStr">
        <is>
          <t>Revogação em 24h</t>
        </is>
      </c>
      <c r="I39" s="4" t="inlineStr">
        <is>
          <t>Ambiguidade (gatilho e ferramenta)</t>
        </is>
      </c>
      <c r="J39" s="4" t="inlineStr">
        <is>
          <t>Alto</t>
        </is>
      </c>
      <c r="K39" s="12" t="inlineStr">
        <is>
          <t>Sim</t>
        </is>
      </c>
      <c r="L39" s="12" t="inlineStr">
        <is>
          <t>Sim</t>
        </is>
      </c>
      <c r="M39" s="4" t="inlineStr">
        <is>
          <t>Pré-vendas / Pricing</t>
        </is>
      </c>
      <c r="N39" s="4" t="inlineStr">
        <is>
          <t>O prazo depende de o RH comunicar o desligamento. Não se sabe se o proponente fornece ferramenta de IGA nem quais sistemas-alvo entram, além do AD.</t>
        </is>
      </c>
      <c r="O39" s="4" t="inlineStr">
        <is>
          <t>Definir o gatilho (evento do RH), os sistemas-alvo e se haverá ferramenta de IGA fornecida. Cotar a integração com o RH.</t>
        </is>
      </c>
      <c r="P39" s="4" t="inlineStr">
        <is>
          <t>PE-11</t>
        </is>
      </c>
      <c r="Q39" s="4" t="inlineStr">
        <is>
          <t>Aberto</t>
        </is>
      </c>
      <c r="R39" s="4" t="inlineStr"/>
      <c r="S39" s="4" t="inlineStr"/>
    </row>
    <row r="40">
      <c r="A40" s="4" t="inlineStr">
        <is>
          <t>IA-02</t>
        </is>
      </c>
      <c r="B40" s="4" t="inlineStr">
        <is>
          <t>Escopo IAM</t>
        </is>
      </c>
      <c r="C40" s="4" t="inlineStr">
        <is>
          <t>MFA para privilegiados</t>
        </is>
      </c>
      <c r="D40" s="4" t="inlineStr">
        <is>
          <t>Anexo I 3.2</t>
        </is>
      </c>
      <c r="E40" s="4" t="inlineStr"/>
      <c r="F40" s="4" t="inlineStr">
        <is>
          <t>MFA obrigatório para 100% dos usuários com acesso privilegiado.</t>
        </is>
      </c>
      <c r="G40" s="4" t="inlineStr">
        <is>
          <t>Obrigatório</t>
        </is>
      </c>
      <c r="H40" s="4" t="inlineStr">
        <is>
          <t>100% privilegiados</t>
        </is>
      </c>
      <c r="I40" s="4" t="inlineStr">
        <is>
          <t>—</t>
        </is>
      </c>
      <c r="J40" s="4" t="inlineStr">
        <is>
          <t>Médio</t>
        </is>
      </c>
      <c r="K40" s="12" t="inlineStr">
        <is>
          <t>Sim</t>
        </is>
      </c>
      <c r="L40" s="4" t="inlineStr">
        <is>
          <t>Não</t>
        </is>
      </c>
      <c r="M40" s="4" t="inlineStr">
        <is>
          <t>Pré-vendas / Pricing</t>
        </is>
      </c>
      <c r="N40" s="4" t="inlineStr">
        <is>
          <t>O número de contas privilegiadas não foi informado, e não se sabe se a solução de MFA é fornecida pelo proponente.</t>
        </is>
      </c>
      <c r="O40" s="4" t="inlineStr">
        <is>
          <t>Definir premissa de quantidade de contas privilegiadas e da solução de MFA.</t>
        </is>
      </c>
      <c r="P40" s="4" t="inlineStr">
        <is>
          <t>PE-11</t>
        </is>
      </c>
      <c r="Q40" s="4" t="inlineStr">
        <is>
          <t>Aberto</t>
        </is>
      </c>
      <c r="R40" s="4" t="inlineStr"/>
      <c r="S40" s="4" t="inlineStr"/>
    </row>
    <row r="41">
      <c r="A41" s="4" t="inlineStr">
        <is>
          <t>IA-03</t>
        </is>
      </c>
      <c r="B41" s="4" t="inlineStr">
        <is>
          <t>Escopo IAM</t>
        </is>
      </c>
      <c r="C41" s="4" t="inlineStr">
        <is>
          <t>Recertificação trimestral</t>
        </is>
      </c>
      <c r="D41" s="4" t="inlineStr">
        <is>
          <t>Anexo I 3.3</t>
        </is>
      </c>
      <c r="E41" s="4" t="inlineStr"/>
      <c r="F41" s="4" t="inlineStr">
        <is>
          <t>Revisão (recertificação) trimestral dos acessos concedidos.</t>
        </is>
      </c>
      <c r="G41" s="4" t="inlineStr">
        <is>
          <t>Obrigatório</t>
        </is>
      </c>
      <c r="H41" s="4" t="inlineStr">
        <is>
          <t>Trimestral</t>
        </is>
      </c>
      <c r="I41" s="4" t="inlineStr">
        <is>
          <t>—</t>
        </is>
      </c>
      <c r="J41" s="4" t="inlineStr">
        <is>
          <t>Médio</t>
        </is>
      </c>
      <c r="K41" s="12" t="inlineStr">
        <is>
          <t>Sim</t>
        </is>
      </c>
      <c r="L41" s="4" t="inlineStr">
        <is>
          <t>Não</t>
        </is>
      </c>
      <c r="M41" s="4" t="inlineStr">
        <is>
          <t>Pré-vendas</t>
        </is>
      </c>
      <c r="N41" s="4" t="inlineStr">
        <is>
          <t>Exige ferramenta ou processo de campanha e depende da participação dos gestores do banco.</t>
        </is>
      </c>
      <c r="O41" s="4" t="inlineStr">
        <is>
          <t>Definir o escopo das campanhas e as responsabilidades do Contratante.</t>
        </is>
      </c>
      <c r="P41" s="4" t="inlineStr">
        <is>
          <t>PE-11</t>
        </is>
      </c>
      <c r="Q41" s="4" t="inlineStr">
        <is>
          <t>Aberto</t>
        </is>
      </c>
      <c r="R41" s="4" t="inlineStr"/>
      <c r="S41" s="4" t="inlineStr"/>
    </row>
    <row r="42">
      <c r="A42" s="4" t="inlineStr">
        <is>
          <t>IA-04</t>
        </is>
      </c>
      <c r="B42" s="4" t="inlineStr">
        <is>
          <t>Escopo IAM</t>
        </is>
      </c>
      <c r="C42" s="4" t="inlineStr">
        <is>
          <t>PAM (cofre de senhas)</t>
        </is>
      </c>
      <c r="D42" s="4" t="inlineStr">
        <is>
          <t>Anexo I 3.4</t>
        </is>
      </c>
      <c r="E42" s="4" t="inlineStr">
        <is>
          <t>PPTX slide 3</t>
        </is>
      </c>
      <c r="F42" s="4" t="inlineStr">
        <is>
          <t>É desejável cofre de senhas para contas privilegiadas (PAM). O banco não tem PAM hoje.</t>
        </is>
      </c>
      <c r="G42" s="4" t="inlineStr">
        <is>
          <t>Desejável</t>
        </is>
      </c>
      <c r="H42" s="4" t="inlineStr">
        <is>
          <t>Opcional</t>
        </is>
      </c>
      <c r="I42" s="4" t="inlineStr">
        <is>
          <t>—</t>
        </is>
      </c>
      <c r="J42" s="4" t="inlineStr">
        <is>
          <t>Médio</t>
        </is>
      </c>
      <c r="K42" s="12" t="inlineStr">
        <is>
          <t>Sim</t>
        </is>
      </c>
      <c r="L42" s="4" t="inlineStr">
        <is>
          <t>Não</t>
        </is>
      </c>
      <c r="M42" s="4" t="inlineStr">
        <is>
          <t>Pricing / Pré-vendas</t>
        </is>
      </c>
      <c r="N42" s="4" t="inlineStr">
        <is>
          <t>Pode pesar no critério 'Ferramentas e tecnologia' (15 pontos). Não está no questionário, então não há penalidade oculta.</t>
        </is>
      </c>
      <c r="O42" s="4" t="inlineStr">
        <is>
          <t>Cotar o PAM como item opcional separado, para não inflar o preço base.</t>
        </is>
      </c>
      <c r="P42" s="4" t="inlineStr">
        <is>
          <t>—</t>
        </is>
      </c>
      <c r="Q42" s="4" t="inlineStr">
        <is>
          <t>Aberto</t>
        </is>
      </c>
      <c r="R42" s="4" t="inlineStr"/>
      <c r="S42" s="4" t="inlineStr"/>
    </row>
    <row r="43">
      <c r="A43" s="4" t="inlineStr">
        <is>
          <t>IA-05</t>
        </is>
      </c>
      <c r="B43" s="4" t="inlineStr">
        <is>
          <t>Escopo IAM</t>
        </is>
      </c>
      <c r="C43" s="4" t="inlineStr">
        <is>
          <t>Modelo do serviço IAM</t>
        </is>
      </c>
      <c r="D43" s="4" t="inlineStr">
        <is>
          <t>RFP 2.1</t>
        </is>
      </c>
      <c r="E43" s="4" t="inlineStr">
        <is>
          <t>Anexo I 3</t>
        </is>
      </c>
      <c r="F43" s="4" t="inlineStr">
        <is>
          <t>Serviço gerenciado de IAM para cerca de 4.500 colaboradores. Não diz se inclui licenciamento de ferramentas.</t>
        </is>
      </c>
      <c r="G43" s="4" t="inlineStr">
        <is>
          <t>Obrigatório</t>
        </is>
      </c>
      <c r="H43" s="4" t="inlineStr">
        <is>
          <t>Indefinido (serviço ou serviço + ferramenta)</t>
        </is>
      </c>
      <c r="I43" s="4" t="inlineStr">
        <is>
          <t>Ambiguidade</t>
        </is>
      </c>
      <c r="J43" s="4" t="inlineStr">
        <is>
          <t>Alto</t>
        </is>
      </c>
      <c r="K43" s="12" t="inlineStr">
        <is>
          <t>Sim</t>
        </is>
      </c>
      <c r="L43" s="4" t="inlineStr">
        <is>
          <t>Não</t>
        </is>
      </c>
      <c r="M43" s="4" t="inlineStr">
        <is>
          <t>Pricing / Pré-vendas</t>
        </is>
      </c>
      <c r="N43" s="4" t="inlineStr">
        <is>
          <t>O RFP diz que o SIEM é do proponente, mas é omisso quanto às ferramentas de IAM (IGA, MFA, PAM). A diferença de preço é grande.</t>
        </is>
      </c>
      <c r="O43" s="4" t="inlineStr">
        <is>
          <t>Perguntar via Q&amp;A. Precificar com ferramentas separadas por linha.</t>
        </is>
      </c>
      <c r="P43" s="4" t="inlineStr">
        <is>
          <t>PE-11</t>
        </is>
      </c>
      <c r="Q43" s="4" t="inlineStr">
        <is>
          <t>Aberto</t>
        </is>
      </c>
      <c r="R43" s="4" t="inlineStr"/>
      <c r="S43" s="4" t="inlineStr"/>
    </row>
    <row r="44">
      <c r="A44" s="4" t="inlineStr">
        <is>
          <t>DM-01</t>
        </is>
      </c>
      <c r="B44" s="4" t="inlineStr">
        <is>
          <t>Dimensionamento</t>
        </is>
      </c>
      <c r="C44" s="4" t="inlineStr">
        <is>
          <t>Número de usuários</t>
        </is>
      </c>
      <c r="D44" s="4" t="inlineStr">
        <is>
          <t>Q&amp;A #5</t>
        </is>
      </c>
      <c r="E44" s="4" t="inlineStr">
        <is>
          <t>RFP 2.1; PPTX slide 2; PPTX notas slide 5</t>
        </is>
      </c>
      <c r="F44" s="4" t="inlineStr">
        <is>
          <t>RFP 2.1: cerca de 4.500 colaboradores. PPTX: 6.200 usuários ativos. Notas do PPTX: mais cerca de 900 usuários das subsidiárias. Q&amp;A #5: 'considerar 5.000 usuários'.</t>
        </is>
      </c>
      <c r="G44" s="4" t="inlineStr">
        <is>
          <t>Premissa de dimensionamento</t>
        </is>
      </c>
      <c r="H44" s="4" t="inlineStr">
        <is>
          <t>5.000 usuários (Q&amp;A #5) com preço por excedente</t>
        </is>
      </c>
      <c r="I44" s="4" t="inlineStr">
        <is>
          <t>CONFLITO entre 4 números (4.500 / 5.000 / 6.200 / ~7.100)</t>
        </is>
      </c>
      <c r="J44" s="4" t="inlineStr">
        <is>
          <t>Alto</t>
        </is>
      </c>
      <c r="K44" s="12" t="inlineStr">
        <is>
          <t>Sim</t>
        </is>
      </c>
      <c r="L44" s="12" t="inlineStr">
        <is>
          <t>Sim</t>
        </is>
      </c>
      <c r="M44" s="4" t="inlineStr">
        <is>
          <t>Pricing / Pré-vendas / Jurídico</t>
        </is>
      </c>
      <c r="N44" s="4" t="inlineStr">
        <is>
          <t>O Q&amp;A é a fonte oficial mais recente, mas o próprio banco mostrou 6.200 usuários ativos (talvez incluindo terceiros ou contas de serviço) e, com as subsidiárias, cerca de 7.100. Precificar só com 5.000 pode subdimensionar o serviço em até 42%.</t>
        </is>
      </c>
      <c r="O44" s="4" t="inlineStr">
        <is>
          <t>Precificar a base de 5.000 conforme o Q&amp;A, com preço unitário por usuário adicional e faixas. Declarar a premissa na proposta e pedir a definição de 'usuário' (colaborador, terceiro, conta de serviço).</t>
        </is>
      </c>
      <c r="P44" s="4" t="inlineStr">
        <is>
          <t>PE-01</t>
        </is>
      </c>
      <c r="Q44" s="4" t="inlineStr">
        <is>
          <t>Aberto</t>
        </is>
      </c>
      <c r="R44" s="4" t="inlineStr"/>
      <c r="S44" s="4" t="inlineStr"/>
    </row>
    <row r="45">
      <c r="A45" s="4" t="inlineStr">
        <is>
          <t>DM-02</t>
        </is>
      </c>
      <c r="B45" s="4" t="inlineStr">
        <is>
          <t>Dimensionamento</t>
        </is>
      </c>
      <c r="C45" s="4" t="inlineStr">
        <is>
          <t>Subsidiárias no escopo</t>
        </is>
      </c>
      <c r="D45" s="4" t="inlineStr">
        <is>
          <t>PPTX notas do slide 5</t>
        </is>
      </c>
      <c r="E45" s="4" t="inlineStr">
        <is>
          <t>RFP 2.1</t>
        </is>
      </c>
      <c r="F45" s="4" t="inlineStr">
        <is>
          <t>Nota do apresentador: Horizonte Seguros e Horizonte Investimentos (cerca de 900 usuários) também deverão entrar no escopo.</t>
        </is>
      </c>
      <c r="G45" s="4" t="inlineStr">
        <is>
          <t>Expectativa (não formalizada)</t>
        </is>
      </c>
      <c r="H45" s="4" t="inlineStr">
        <is>
          <t>Fora do RFP: tratar como opcional</t>
        </is>
      </c>
      <c r="I45" s="4" t="inlineStr">
        <is>
          <t>ESCOPO NÃO FORMALIZADO</t>
        </is>
      </c>
      <c r="J45" s="4" t="inlineStr">
        <is>
          <t>Alto</t>
        </is>
      </c>
      <c r="K45" s="12" t="inlineStr">
        <is>
          <t>Sim</t>
        </is>
      </c>
      <c r="L45" s="12" t="inlineStr">
        <is>
          <t>Sim</t>
        </is>
      </c>
      <c r="M45" s="4" t="inlineStr">
        <is>
          <t>Jurídico / Pricing</t>
        </is>
      </c>
      <c r="N45" s="4" t="inlineStr">
        <is>
          <t>Essa informação está só nas notas do apresentador. O RFP fala em contratante único. As subsidiárias são pessoas jurídicas distintas e podem ter outros reguladores (seguradora/SUSEP, gestora/CVM). Isso afeta partes do contrato, faturamento, Anexo III, SLA e responsabilidade.</t>
        </is>
      </c>
      <c r="O45" s="4" t="inlineStr">
        <is>
          <t>Perguntar via Q&amp;A. Se confirmado, cotar como módulo opcional e exigir que as subsidiárias sejam partes ou intervenientes no contrato.</t>
        </is>
      </c>
      <c r="P45" s="4" t="inlineStr">
        <is>
          <t>PE-01</t>
        </is>
      </c>
      <c r="Q45" s="4" t="inlineStr">
        <is>
          <t>Aberto</t>
        </is>
      </c>
      <c r="R45" s="4" t="inlineStr"/>
      <c r="S45" s="4" t="inlineStr"/>
    </row>
    <row r="46">
      <c r="A46" s="4" t="inlineStr">
        <is>
          <t>EQ-01</t>
        </is>
      </c>
      <c r="B46" s="4" t="inlineStr">
        <is>
          <t>Equipe</t>
        </is>
      </c>
      <c r="C46" s="4" t="inlineStr">
        <is>
          <t>Coordenador CISSP dedicado</t>
        </is>
      </c>
      <c r="D46" s="4" t="inlineStr">
        <is>
          <t>Anexo I 5.1</t>
        </is>
      </c>
      <c r="E46" s="4" t="inlineStr">
        <is>
          <t>RFP 5.2</t>
        </is>
      </c>
      <c r="F46" s="4" t="inlineStr">
        <is>
          <t>Coordenador com certificação CISSP, dedicado exclusivamente ao contrato.</t>
        </is>
      </c>
      <c r="G46" s="4" t="inlineStr">
        <is>
          <t>Obrigatório</t>
        </is>
      </c>
      <c r="H46" s="4" t="inlineStr">
        <is>
          <t>1 FTE CISSP exclusivo</t>
        </is>
      </c>
      <c r="I46" s="4" t="inlineStr">
        <is>
          <t>—</t>
        </is>
      </c>
      <c r="J46" s="4" t="inlineStr">
        <is>
          <t>Médio</t>
        </is>
      </c>
      <c r="K46" s="12" t="inlineStr">
        <is>
          <t>Sim</t>
        </is>
      </c>
      <c r="L46" s="12" t="inlineStr">
        <is>
          <t>Sim</t>
        </is>
      </c>
      <c r="M46" s="4" t="inlineStr">
        <is>
          <t>Pricing / RH</t>
        </is>
      </c>
      <c r="N46" s="4" t="inlineStr">
        <is>
          <t>Custo fixo relevante. Exigirá substituição equivalente em férias ou desligamento.</t>
        </is>
      </c>
      <c r="O46" s="4" t="inlineStr">
        <is>
          <t>Precificar 1 FTE sênior exclusivo e definir regra de substituto.</t>
        </is>
      </c>
      <c r="P46" s="4" t="inlineStr">
        <is>
          <t>—</t>
        </is>
      </c>
      <c r="Q46" s="4" t="inlineStr">
        <is>
          <t>Aberto</t>
        </is>
      </c>
      <c r="R46" s="4" t="inlineStr"/>
      <c r="S46" s="4" t="inlineStr"/>
    </row>
    <row r="47">
      <c r="A47" s="4" t="inlineStr">
        <is>
          <t>EQ-02</t>
        </is>
      </c>
      <c r="B47" s="4" t="inlineStr">
        <is>
          <t>Equipe</t>
        </is>
      </c>
      <c r="C47" s="4" t="inlineStr">
        <is>
          <t>Analistas N1 presenciais</t>
        </is>
      </c>
      <c r="D47" s="4" t="inlineStr">
        <is>
          <t>Q&amp;A #6</t>
        </is>
      </c>
      <c r="E47" s="4" t="inlineStr">
        <is>
          <t>Anexo I 5.2</t>
        </is>
      </c>
      <c r="F47" s="4" t="inlineStr">
        <is>
          <t>Anexo I 5.2: N1 presencial na sede em São Paulo/SP, em horário comercial. Q&amp;A #6: N1 pode atuar remotamente, desde que em território nacional.</t>
        </is>
      </c>
      <c r="G47" s="4" t="inlineStr">
        <is>
          <t>Obrigatório (flexibilizado)</t>
        </is>
      </c>
      <c r="H47" s="4" t="inlineStr">
        <is>
          <t>Remoto permitido, no Brasil</t>
        </is>
      </c>
      <c r="I47" s="4" t="inlineStr">
        <is>
          <t>Alterado pelo Q&amp;A</t>
        </is>
      </c>
      <c r="J47" s="4" t="inlineStr">
        <is>
          <t>Baixo</t>
        </is>
      </c>
      <c r="K47" s="12" t="inlineStr">
        <is>
          <t>Sim</t>
        </is>
      </c>
      <c r="L47" s="4" t="inlineStr">
        <is>
          <t>Não</t>
        </is>
      </c>
      <c r="M47" s="4" t="inlineStr">
        <is>
          <t>Pricing / Pré-vendas</t>
        </is>
      </c>
      <c r="N47" s="4" t="inlineStr">
        <is>
          <t>A flexibilização reduz custo (deslocamento, posições on-site). Os dados continuam no Brasil (Anexo III).</t>
        </is>
      </c>
      <c r="O47" s="4" t="inlineStr">
        <is>
          <t>Precificar o N1 remoto no SOC nacional. Opcionalmente, oferecer presença on-site como diferencial.</t>
        </is>
      </c>
      <c r="P47" s="4" t="inlineStr">
        <is>
          <t>—</t>
        </is>
      </c>
      <c r="Q47" s="4" t="inlineStr">
        <is>
          <t>Aberto</t>
        </is>
      </c>
      <c r="R47" s="4" t="inlineStr"/>
      <c r="S47" s="4" t="inlineStr"/>
    </row>
    <row r="48">
      <c r="A48" s="4" t="inlineStr">
        <is>
          <t>CT-01</t>
        </is>
      </c>
      <c r="B48" s="4" t="inlineStr">
        <is>
          <t>Contratual</t>
        </is>
      </c>
      <c r="C48" s="4" t="inlineStr">
        <is>
          <t>Vigência</t>
        </is>
      </c>
      <c r="D48" s="4" t="inlineStr">
        <is>
          <t>RFP 7.1</t>
        </is>
      </c>
      <c r="E48" s="4" t="inlineStr"/>
      <c r="F48" s="4" t="inlineStr">
        <is>
          <t>36 meses, prorrogável por iguais períodos mediante acordo.</t>
        </is>
      </c>
      <c r="G48" s="4" t="inlineStr">
        <is>
          <t>Condição comercial</t>
        </is>
      </c>
      <c r="H48" s="4" t="inlineStr">
        <is>
          <t>36 meses</t>
        </is>
      </c>
      <c r="I48" s="4" t="inlineStr">
        <is>
          <t>—</t>
        </is>
      </c>
      <c r="J48" s="4" t="inlineStr">
        <is>
          <t>Baixo</t>
        </is>
      </c>
      <c r="K48" s="12" t="inlineStr">
        <is>
          <t>Sim</t>
        </is>
      </c>
      <c r="L48" s="12" t="inlineStr">
        <is>
          <t>Sim</t>
        </is>
      </c>
      <c r="M48" s="4" t="inlineStr">
        <is>
          <t>Jurídico / Pricing</t>
        </is>
      </c>
      <c r="N48" s="4" t="inlineStr">
        <is>
          <t>Base para amortizar setup e transição.</t>
        </is>
      </c>
      <c r="O48" s="4" t="inlineStr">
        <is>
          <t>Amortizar setup em 36 meses e prever multa rescisória por término antecipado.</t>
        </is>
      </c>
      <c r="P48" s="4" t="inlineStr">
        <is>
          <t>—</t>
        </is>
      </c>
      <c r="Q48" s="4" t="inlineStr">
        <is>
          <t>Aberto</t>
        </is>
      </c>
      <c r="R48" s="4" t="inlineStr"/>
      <c r="S48" s="4" t="inlineStr"/>
    </row>
    <row r="49">
      <c r="A49" s="4" t="inlineStr">
        <is>
          <t>CT-02</t>
        </is>
      </c>
      <c r="B49" s="4" t="inlineStr">
        <is>
          <t>Contratual</t>
        </is>
      </c>
      <c r="C49" s="4" t="inlineStr">
        <is>
          <t>Reajuste</t>
        </is>
      </c>
      <c r="D49" s="4" t="inlineStr">
        <is>
          <t>RFP 7.2</t>
        </is>
      </c>
      <c r="E49" s="4" t="inlineStr"/>
      <c r="F49" s="4" t="inlineStr">
        <is>
          <t>Reajuste anual pelo IPCA.</t>
        </is>
      </c>
      <c r="G49" s="4" t="inlineStr">
        <is>
          <t>Condição comercial</t>
        </is>
      </c>
      <c r="H49" s="4" t="inlineStr">
        <is>
          <t>IPCA anual</t>
        </is>
      </c>
      <c r="I49" s="4" t="inlineStr">
        <is>
          <t>—</t>
        </is>
      </c>
      <c r="J49" s="4" t="inlineStr">
        <is>
          <t>Baixo</t>
        </is>
      </c>
      <c r="K49" s="12" t="inlineStr">
        <is>
          <t>Sim</t>
        </is>
      </c>
      <c r="L49" s="4" t="inlineStr">
        <is>
          <t>Não</t>
        </is>
      </c>
      <c r="M49" s="4" t="inlineStr">
        <is>
          <t>Pricing</t>
        </is>
      </c>
      <c r="N49" s="4" t="inlineStr">
        <is>
          <t>Licenças de SIEM e nuvem costumam ser cotadas em dólar. O IPCA não cobre a variação cambial.</t>
        </is>
      </c>
      <c r="O49" s="4" t="inlineStr">
        <is>
          <t>Avaliar hedge ou margem cambial nos componentes em USD.</t>
        </is>
      </c>
      <c r="P49" s="4" t="inlineStr">
        <is>
          <t>—</t>
        </is>
      </c>
      <c r="Q49" s="4" t="inlineStr">
        <is>
          <t>Aberto</t>
        </is>
      </c>
      <c r="R49" s="4" t="inlineStr"/>
      <c r="S49" s="4" t="inlineStr"/>
    </row>
    <row r="50">
      <c r="A50" s="4" t="inlineStr">
        <is>
          <t>CT-03</t>
        </is>
      </c>
      <c r="B50" s="4" t="inlineStr">
        <is>
          <t>Contratual</t>
        </is>
      </c>
      <c r="C50" s="4" t="inlineStr">
        <is>
          <t>Prazo de pagamento</t>
        </is>
      </c>
      <c r="D50" s="4" t="inlineStr">
        <is>
          <t>RFP 7.3</t>
        </is>
      </c>
      <c r="E50" s="4" t="inlineStr"/>
      <c r="F50" s="4" t="inlineStr">
        <is>
          <t>Pagamento em até 60 dias após o aceite da nota fiscal.</t>
        </is>
      </c>
      <c r="G50" s="4" t="inlineStr">
        <is>
          <t>Condição comercial</t>
        </is>
      </c>
      <c r="H50" s="4" t="inlineStr">
        <is>
          <t>60 dias após aceite</t>
        </is>
      </c>
      <c r="I50" s="4" t="inlineStr">
        <is>
          <t>Ambiguidade (critério de aceite)</t>
        </is>
      </c>
      <c r="J50" s="4" t="inlineStr">
        <is>
          <t>Médio</t>
        </is>
      </c>
      <c r="K50" s="12" t="inlineStr">
        <is>
          <t>Sim</t>
        </is>
      </c>
      <c r="L50" s="12" t="inlineStr">
        <is>
          <t>Sim</t>
        </is>
      </c>
      <c r="M50" s="4" t="inlineStr">
        <is>
          <t>Pricing / Jurídico</t>
        </is>
      </c>
      <c r="N50" s="4" t="inlineStr">
        <is>
          <t>Prazo longo, com custo financeiro. O prazo e o critério do aceite não estão definidos, então o ciclo real pode passar de 90 dias.</t>
        </is>
      </c>
      <c r="O50" s="4" t="inlineStr">
        <is>
          <t>Incluir o custo financeiro no preço. Propor aceite tácito em X dias.</t>
        </is>
      </c>
      <c r="P50" s="4" t="inlineStr">
        <is>
          <t>PE-16</t>
        </is>
      </c>
      <c r="Q50" s="4" t="inlineStr">
        <is>
          <t>Aberto</t>
        </is>
      </c>
      <c r="R50" s="4" t="inlineStr"/>
      <c r="S50" s="4" t="inlineStr"/>
    </row>
    <row r="51">
      <c r="A51" s="4" t="inlineStr">
        <is>
          <t>CT-04</t>
        </is>
      </c>
      <c r="B51" s="4" t="inlineStr">
        <is>
          <t>Contratual</t>
        </is>
      </c>
      <c r="C51" s="4" t="inlineStr">
        <is>
          <t>Multa por descumprimento de SLA</t>
        </is>
      </c>
      <c r="D51" s="4" t="inlineStr">
        <is>
          <t>RFP 7.4</t>
        </is>
      </c>
      <c r="E51" s="4" t="inlineStr">
        <is>
          <t>Q&amp;A #4; Anexo I 2</t>
        </is>
      </c>
      <c r="F51" s="4" t="inlineStr">
        <is>
          <t>Multa de 10% do valor mensal do contrato por ocorrência de descumprimento de qualquer SLA. Q&amp;A #4: 'as condições do item 7 permanecem inalteradas' (sem teto).</t>
        </is>
      </c>
      <c r="G51" s="4" t="inlineStr">
        <is>
          <t>Condição contratual</t>
        </is>
      </c>
      <c r="H51" s="4" t="inlineStr">
        <is>
          <t>10% por ocorrência, SEM TETO</t>
        </is>
      </c>
      <c r="I51" s="4" t="inlineStr">
        <is>
          <t>Risco crítico (Q&amp;A recusou limitar)</t>
        </is>
      </c>
      <c r="J51" s="4" t="inlineStr">
        <is>
          <t>Alto</t>
        </is>
      </c>
      <c r="K51" s="12" t="inlineStr">
        <is>
          <t>Sim</t>
        </is>
      </c>
      <c r="L51" s="12" t="inlineStr">
        <is>
          <t>Sim</t>
        </is>
      </c>
      <c r="M51" s="4" t="inlineStr">
        <is>
          <t>Jurídico / Pricing</t>
        </is>
      </c>
      <c r="N51" s="4" t="inlineStr">
        <is>
          <t>Dez ocorrências no mês consomem 100% da mensalidade. A multa vale para todos os SLAs, inclusive atraso de relatório, e a criticidade é definida pelo banco (SL-04). Não há gradação nem cura, e o tema não foi negociado no Q&amp;A.</t>
        </is>
      </c>
      <c r="O51" s="4" t="inlineStr">
        <is>
          <t>Jurídico: propor teto mensal (ex.: 10-20% da fatura), gradação por SLA, período de carência na transição e exclusões. Pricing: provisionar risco. Avaliar se a proposta pode trazer ressalvas sem desclassificação.</t>
        </is>
      </c>
      <c r="P51" s="4" t="inlineStr">
        <is>
          <t>PE-16</t>
        </is>
      </c>
      <c r="Q51" s="4" t="inlineStr">
        <is>
          <t>Aberto</t>
        </is>
      </c>
      <c r="R51" s="4" t="inlineStr"/>
      <c r="S51" s="4" t="inlineStr"/>
    </row>
    <row r="52">
      <c r="A52" s="4" t="inlineStr">
        <is>
          <t>CT-05</t>
        </is>
      </c>
      <c r="B52" s="4" t="inlineStr">
        <is>
          <t>Contratual</t>
        </is>
      </c>
      <c r="C52" s="4" t="inlineStr">
        <is>
          <t>Responsabilidade ilimitada</t>
        </is>
      </c>
      <c r="D52" s="4" t="inlineStr">
        <is>
          <t>RFP 7.5</t>
        </is>
      </c>
      <c r="E52" s="4" t="inlineStr"/>
      <c r="F52" s="4" t="inlineStr">
        <is>
          <t>A Contratada responde de forma integral e ilimitada por quaisquer danos decorrentes de incidentes de segurança no ambiente do Contratante.</t>
        </is>
      </c>
      <c r="G52" s="4" t="inlineStr">
        <is>
          <t>Condição contratual</t>
        </is>
      </c>
      <c r="H52" s="4" t="inlineStr">
        <is>
          <t>Ilimitada, sem nexo causal</t>
        </is>
      </c>
      <c r="I52" s="4" t="inlineStr">
        <is>
          <t>Risco crítico / possível no-go</t>
        </is>
      </c>
      <c r="J52" s="4" t="inlineStr">
        <is>
          <t>Alto</t>
        </is>
      </c>
      <c r="K52" s="12" t="inlineStr">
        <is>
          <t>Sim</t>
        </is>
      </c>
      <c r="L52" s="12" t="inlineStr">
        <is>
          <t>Sim</t>
        </is>
      </c>
      <c r="M52" s="4" t="inlineStr">
        <is>
          <t>Jurídico / Diretoria</t>
        </is>
      </c>
      <c r="N52" s="4" t="inlineStr">
        <is>
          <t>Na redação atual, a Contratada responde por qualquer incidente no ambiente do banco, mesmo sem culpa ou nexo com o serviço (ex.: falha de sistema do próprio banco). Inclui danos indiretos e lucros cessantes. Nenhum seguro cobre esse risco, e a cláusula conflita com 7.6.</t>
        </is>
      </c>
      <c r="O52" s="4" t="inlineStr">
        <is>
          <t>Ponto de go/no-go. Propor responsabilidade limitada a 12 meses de contrato, apenas por culpa comprovada e excluindo danos indiretos. Escalar à diretoria.</t>
        </is>
      </c>
      <c r="P52" s="4" t="inlineStr">
        <is>
          <t>PE-16</t>
        </is>
      </c>
      <c r="Q52" s="4" t="inlineStr">
        <is>
          <t>Aberto</t>
        </is>
      </c>
      <c r="R52" s="4" t="inlineStr"/>
      <c r="S52" s="4" t="inlineStr"/>
    </row>
    <row r="53">
      <c r="A53" s="4" t="inlineStr">
        <is>
          <t>CT-06</t>
        </is>
      </c>
      <c r="B53" s="4" t="inlineStr">
        <is>
          <t>Contratual</t>
        </is>
      </c>
      <c r="C53" s="4" t="inlineStr">
        <is>
          <t>Seguro cyber</t>
        </is>
      </c>
      <c r="D53" s="4" t="inlineStr">
        <is>
          <t>RFP 7.6</t>
        </is>
      </c>
      <c r="E53" s="4" t="inlineStr">
        <is>
          <t>RFP 7.5</t>
        </is>
      </c>
      <c r="F53" s="4" t="inlineStr">
        <is>
          <t>Manter seguro de responsabilidade civil cibernética 'em valor compatível com os riscos do contrato'.</t>
        </is>
      </c>
      <c r="G53" s="4" t="inlineStr">
        <is>
          <t>Condição contratual</t>
        </is>
      </c>
      <c r="H53" s="4" t="inlineStr">
        <is>
          <t>Valor indefinido</t>
        </is>
      </c>
      <c r="I53" s="4" t="inlineStr">
        <is>
          <t>Ambiguidade</t>
        </is>
      </c>
      <c r="J53" s="4" t="inlineStr">
        <is>
          <t>Médio</t>
        </is>
      </c>
      <c r="K53" s="12" t="inlineStr">
        <is>
          <t>Sim</t>
        </is>
      </c>
      <c r="L53" s="12" t="inlineStr">
        <is>
          <t>Sim</t>
        </is>
      </c>
      <c r="M53" s="4" t="inlineStr">
        <is>
          <t>Jurídico / Pricing</t>
        </is>
      </c>
      <c r="N53" s="4" t="inlineStr">
        <is>
          <t>'Compatível' é subjetivo e, junto com 7.5 (ilimitado), não tem referência.</t>
        </is>
      </c>
      <c r="O53" s="4" t="inlineStr">
        <is>
          <t>Pedir o valor mínimo da apólice. Cotar o prêmio com a corretora.</t>
        </is>
      </c>
      <c r="P53" s="4" t="inlineStr">
        <is>
          <t>PE-16</t>
        </is>
      </c>
      <c r="Q53" s="4" t="inlineStr">
        <is>
          <t>Aberto</t>
        </is>
      </c>
      <c r="R53" s="4" t="inlineStr"/>
      <c r="S53" s="4" t="inlineStr"/>
    </row>
    <row r="54">
      <c r="A54" s="4" t="inlineStr">
        <is>
          <t>CT-07</t>
        </is>
      </c>
      <c r="B54" s="4" t="inlineStr">
        <is>
          <t>Contratual</t>
        </is>
      </c>
      <c r="C54" s="4" t="inlineStr">
        <is>
          <t>Vedação à subcontratação</t>
        </is>
      </c>
      <c r="D54" s="4" t="inlineStr">
        <is>
          <t>RFP 7.7</t>
        </is>
      </c>
      <c r="E54" s="4" t="inlineStr">
        <is>
          <t>Anexo I 1.2</t>
        </is>
      </c>
      <c r="F54" s="4" t="inlineStr">
        <is>
          <t>É vedada a subcontratação, total ou parcial, do objeto.</t>
        </is>
      </c>
      <c r="G54" s="4" t="inlineStr">
        <is>
          <t>Condição contratual</t>
        </is>
      </c>
      <c r="H54" s="4" t="inlineStr">
        <is>
          <t>Vedada</t>
        </is>
      </c>
      <c r="I54" s="4" t="inlineStr">
        <is>
          <t>CONFLITO prático com SIEM em nuvem / fabricantes</t>
        </is>
      </c>
      <c r="J54" s="4" t="inlineStr">
        <is>
          <t>Alto</t>
        </is>
      </c>
      <c r="K54" s="12" t="inlineStr">
        <is>
          <t>Sim</t>
        </is>
      </c>
      <c r="L54" s="12" t="inlineStr">
        <is>
          <t>Sim</t>
        </is>
      </c>
      <c r="M54" s="4" t="inlineStr">
        <is>
          <t>Jurídico / Pré-vendas</t>
        </is>
      </c>
      <c r="N54" s="4" t="inlineStr">
        <is>
          <t>O próprio Anexo I prevê SIEM em nuvem pública, ou seja, um hyperscaler. Suporte de fabricante, threat intel de terceiros e forense especializada também podem ser vistos como subcontratação. A vedação também impede consórcio ou parceiro para IAM.</t>
        </is>
      </c>
      <c r="O54" s="4" t="inlineStr">
        <is>
          <t>Pedir confirmação de que provedores de nuvem, licenças e suporte de fabricantes não são subcontratação. Listar os terceiros na proposta.</t>
        </is>
      </c>
      <c r="P54" s="4" t="inlineStr">
        <is>
          <t>PE-17</t>
        </is>
      </c>
      <c r="Q54" s="4" t="inlineStr">
        <is>
          <t>Aberto</t>
        </is>
      </c>
      <c r="R54" s="4" t="inlineStr"/>
      <c r="S54" s="4" t="inlineStr"/>
    </row>
    <row r="55">
      <c r="A55" s="4" t="inlineStr">
        <is>
          <t>CT-08</t>
        </is>
      </c>
      <c r="B55" s="4" t="inlineStr">
        <is>
          <t>Contratual</t>
        </is>
      </c>
      <c r="C55" s="4" t="inlineStr">
        <is>
          <t>Confidencialidade</t>
        </is>
      </c>
      <c r="D55" s="4" t="inlineStr">
        <is>
          <t>RFP 7.8</t>
        </is>
      </c>
      <c r="E55" s="4" t="inlineStr"/>
      <c r="F55" s="4" t="inlineStr">
        <is>
          <t>Confidencialidade por 5 anos após o término do contrato.</t>
        </is>
      </c>
      <c r="G55" s="4" t="inlineStr">
        <is>
          <t>Condição contratual</t>
        </is>
      </c>
      <c r="H55" s="4" t="inlineStr">
        <is>
          <t>5 anos pós-término</t>
        </is>
      </c>
      <c r="I55" s="4" t="inlineStr">
        <is>
          <t>—</t>
        </is>
      </c>
      <c r="J55" s="4" t="inlineStr">
        <is>
          <t>Baixo</t>
        </is>
      </c>
      <c r="K55" s="4" t="inlineStr">
        <is>
          <t>Não</t>
        </is>
      </c>
      <c r="L55" s="12" t="inlineStr">
        <is>
          <t>Sim</t>
        </is>
      </c>
      <c r="M55" s="4" t="inlineStr">
        <is>
          <t>Jurídico</t>
        </is>
      </c>
      <c r="N55" s="4" t="inlineStr">
        <is>
          <t>Prazo usual.</t>
        </is>
      </c>
      <c r="O55" s="4" t="inlineStr">
        <is>
          <t>Verificar compatibilidade com a retenção de logs de 5 anos (TS-03).</t>
        </is>
      </c>
      <c r="P55" s="4" t="inlineStr">
        <is>
          <t>—</t>
        </is>
      </c>
      <c r="Q55" s="4" t="inlineStr">
        <is>
          <t>Aberto</t>
        </is>
      </c>
      <c r="R55" s="4" t="inlineStr"/>
      <c r="S55" s="4" t="inlineStr"/>
    </row>
    <row r="56">
      <c r="A56" s="4" t="inlineStr">
        <is>
          <t>CT-09</t>
        </is>
      </c>
      <c r="B56" s="4" t="inlineStr">
        <is>
          <t>Contratual</t>
        </is>
      </c>
      <c r="C56" s="4" t="inlineStr">
        <is>
          <t>Hierarquia entre documentos</t>
        </is>
      </c>
      <c r="D56" s="4" t="inlineStr">
        <is>
          <t>RFP (omissão)</t>
        </is>
      </c>
      <c r="E56" s="4" t="inlineStr">
        <is>
          <t>Q&amp;A; Anexo I; PPTX</t>
        </is>
      </c>
      <c r="F56" s="4" t="inlineStr">
        <is>
          <t>O RFP não define a precedência entre RFP, anexos, Q&amp;A e materiais do workshop.</t>
        </is>
      </c>
      <c r="G56" s="4" t="inlineStr">
        <is>
          <t>Lacuna</t>
        </is>
      </c>
      <c r="H56" s="4" t="inlineStr">
        <is>
          <t>Adotada: Q&amp;A &gt; RFP &gt; Anexo I &gt; questionário &gt; workshop</t>
        </is>
      </c>
      <c r="I56" s="4" t="inlineStr">
        <is>
          <t>LACUNA</t>
        </is>
      </c>
      <c r="J56" s="4" t="inlineStr">
        <is>
          <t>Alto</t>
        </is>
      </c>
      <c r="K56" s="4" t="inlineStr">
        <is>
          <t>Não</t>
        </is>
      </c>
      <c r="L56" s="12" t="inlineStr">
        <is>
          <t>Sim</t>
        </is>
      </c>
      <c r="M56" s="4" t="inlineStr">
        <is>
          <t>Jurídico</t>
        </is>
      </c>
      <c r="N56" s="4" t="inlineStr">
        <is>
          <t>Há pelo menos 5 conflitos entre os documentos (CR-05, TS-02, TS-03, DM-01, AV-02). Sem regra de precedência, o banco pode exigir a interpretação mais onerosa.</t>
        </is>
      </c>
      <c r="O56" s="4" t="inlineStr">
        <is>
          <t>Pedir cláusula de precedência. Na proposta, declarar a interpretação adotada para cada conflito.</t>
        </is>
      </c>
      <c r="P56" s="4" t="inlineStr">
        <is>
          <t>PE-01</t>
        </is>
      </c>
      <c r="Q56" s="4" t="inlineStr">
        <is>
          <t>Aberto</t>
        </is>
      </c>
      <c r="R56" s="4" t="inlineStr"/>
      <c r="S56" s="4" t="inlineStr"/>
    </row>
    <row r="57">
      <c r="A57" s="4" t="inlineStr">
        <is>
          <t>CT-10</t>
        </is>
      </c>
      <c r="B57" s="4" t="inlineStr">
        <is>
          <t>Contratual</t>
        </is>
      </c>
      <c r="C57" s="4" t="inlineStr">
        <is>
          <t>Minuta de contrato / LGPD</t>
        </is>
      </c>
      <c r="D57" s="4" t="inlineStr">
        <is>
          <t>RFP (omissão)</t>
        </is>
      </c>
      <c r="E57" s="4" t="inlineStr"/>
      <c r="F57" s="4" t="inlineStr">
        <is>
          <t>Não foi recebida minuta de contrato, nem cláusula de proteção de dados pessoais (LGPD, papel de operador), de propriedade dos logs ou de devolução de dados no fim do contrato.</t>
        </is>
      </c>
      <c r="G57" s="4" t="inlineStr">
        <is>
          <t>Lacuna</t>
        </is>
      </c>
      <c r="H57" s="4" t="inlineStr">
        <is>
          <t>Não tratado</t>
        </is>
      </c>
      <c r="I57" s="4" t="inlineStr">
        <is>
          <t>LACUNA</t>
        </is>
      </c>
      <c r="J57" s="4" t="inlineStr">
        <is>
          <t>Médio</t>
        </is>
      </c>
      <c r="K57" s="4" t="inlineStr">
        <is>
          <t>Não</t>
        </is>
      </c>
      <c r="L57" s="12" t="inlineStr">
        <is>
          <t>Sim</t>
        </is>
      </c>
      <c r="M57" s="4" t="inlineStr">
        <is>
          <t>Jurídico</t>
        </is>
      </c>
      <c r="N57" s="4" t="inlineStr">
        <is>
          <t>O SOC e o IAM tratam dados pessoais de colaboradores. Faltam regras de devolução e eliminação dos logs no fim do contrato, o que se liga à retenção de 5 anos.</t>
        </is>
      </c>
      <c r="O57" s="4" t="inlineStr">
        <is>
          <t>Pedir a minuta contratual (talvez seja o Anexo II) e as cláusulas de proteção de dados.</t>
        </is>
      </c>
      <c r="P57" s="4" t="inlineStr">
        <is>
          <t>PE-05</t>
        </is>
      </c>
      <c r="Q57" s="4" t="inlineStr">
        <is>
          <t>Aberto</t>
        </is>
      </c>
      <c r="R57" s="4" t="inlineStr"/>
      <c r="S57" s="4" t="inlineStr"/>
    </row>
    <row r="58">
      <c r="A58" s="4" t="inlineStr">
        <is>
          <t>RG-01</t>
        </is>
      </c>
      <c r="B58" s="4" t="inlineStr">
        <is>
          <t>Regulatório</t>
        </is>
      </c>
      <c r="C58" s="4" t="inlineStr">
        <is>
          <t>Resolução CMN nº 4.893/2021</t>
        </is>
      </c>
      <c r="D58" s="4" t="inlineStr">
        <is>
          <t>RFP 1.2</t>
        </is>
      </c>
      <c r="E58" s="4" t="inlineStr">
        <is>
          <t>QT-04 (obrigatório, peso 3); Anexo III; Anexo I 1.2</t>
        </is>
      </c>
      <c r="F58" s="4" t="inlineStr">
        <is>
          <t>O banco está sujeito à Res. CMN 4.893/2021 (política de segurança cibernética e contratação de processamento, armazenamento e nuvem).</t>
        </is>
      </c>
      <c r="G58" s="4" t="inlineStr">
        <is>
          <t>Obrigatório</t>
        </is>
      </c>
      <c r="H58" s="4" t="inlineStr">
        <is>
          <t>Conformidade exigida</t>
        </is>
      </c>
      <c r="I58" s="4" t="inlineStr">
        <is>
          <t>Relacionado ao conflito TS-02</t>
        </is>
      </c>
      <c r="J58" s="4" t="inlineStr">
        <is>
          <t>Alto</t>
        </is>
      </c>
      <c r="K58" s="12" t="inlineStr">
        <is>
          <t>Sim</t>
        </is>
      </c>
      <c r="L58" s="12" t="inlineStr">
        <is>
          <t>Sim</t>
        </is>
      </c>
      <c r="M58" s="4" t="inlineStr">
        <is>
          <t>Compliance / Jurídico</t>
        </is>
      </c>
      <c r="N58" s="4" t="inlineStr">
        <is>
          <t>A norma impõe requisitos contratuais à contratação de serviços relevantes de processamento e nuvem (acesso do BCB, continuidade, comunicação ao regulador etc.). QT-04 é obrigatório e tem o maior peso. Confirmar a redação vigente da norma, que pode ter sido alterada.</t>
        </is>
      </c>
      <c r="O58" s="4" t="inlineStr">
        <is>
          <t>Montar um anexo de conformidade com a Res. 4.893 (cláusulas exigidas, acesso do BCB, plano de continuidade, localização no Brasil) e conferir a versão vigente.</t>
        </is>
      </c>
      <c r="P58" s="4" t="inlineStr">
        <is>
          <t>PE-06</t>
        </is>
      </c>
      <c r="Q58" s="4" t="inlineStr">
        <is>
          <t>Aberto</t>
        </is>
      </c>
      <c r="R58" s="4" t="inlineStr"/>
      <c r="S58" s="4" t="inlineStr"/>
    </row>
  </sheetData>
  <conditionalFormatting sqref="J2:J58">
    <cfRule type="expression" priority="1" dxfId="0">
      <formula>J2="Alto"</formula>
    </cfRule>
    <cfRule type="expression" priority="2" dxfId="1">
      <formula>J2="Médio"</formula>
    </cfRule>
    <cfRule type="expression" priority="3" dxfId="2">
      <formula>J2="Baixo"</formula>
    </cfRule>
  </conditionalFormatting>
  <dataValidations count="1">
    <dataValidation sqref="Q2:Q58" showDropDown="0" showInputMessage="0" showErrorMessage="0" allowBlank="1" type="list">
      <formula1>"Aberto,Em análise,Resolvido,Aceito como risco"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5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0" customWidth="1" min="4" max="4"/>
    <col width="24" customWidth="1" min="5" max="5"/>
    <col width="55" customWidth="1" min="6" max="6"/>
    <col width="32" customWidth="1" min="7" max="7"/>
    <col width="26" customWidth="1" min="8" max="8"/>
    <col width="9" customWidth="1" min="9" max="9"/>
    <col width="60" customWidth="1" min="10" max="10"/>
    <col width="60" customWidth="1" min="11" max="11"/>
    <col width="10" customWidth="1" min="12" max="12"/>
  </cols>
  <sheetData>
    <row r="1">
      <c r="A1" s="3" t="inlineStr">
        <is>
          <t>ID</t>
        </is>
      </c>
      <c r="B1" s="3" t="inlineStr">
        <is>
          <t>Categoria</t>
        </is>
      </c>
      <c r="C1" s="3" t="inlineStr">
        <is>
          <t>Tema</t>
        </is>
      </c>
      <c r="D1" s="3" t="inlineStr">
        <is>
          <t>Fonte principal</t>
        </is>
      </c>
      <c r="E1" s="3" t="inlineStr">
        <is>
          <t>Outras fontes</t>
        </is>
      </c>
      <c r="F1" s="3" t="inlineStr">
        <is>
          <t>Requisito / conteúdo (resumo)</t>
        </is>
      </c>
      <c r="G1" s="3" t="inlineStr">
        <is>
          <t>Posição vigente (após Q&amp;A)</t>
        </is>
      </c>
      <c r="H1" s="3" t="inlineStr">
        <is>
          <t>Conflito / ambiguidade</t>
        </is>
      </c>
      <c r="I1" s="3" t="inlineStr">
        <is>
          <t>Risco</t>
        </is>
      </c>
      <c r="J1" s="3" t="inlineStr">
        <is>
          <t>Análise</t>
        </is>
      </c>
      <c r="K1" s="3" t="inlineStr">
        <is>
          <t>Ação recomendada</t>
        </is>
      </c>
      <c r="L1" s="3" t="inlineStr">
        <is>
          <t>Pergunta (ref.)</t>
        </is>
      </c>
    </row>
    <row r="2">
      <c r="A2" s="4" t="inlineStr">
        <is>
          <t>CR-04</t>
        </is>
      </c>
      <c r="B2" s="4" t="inlineStr">
        <is>
          <t>Cronograma</t>
        </is>
      </c>
      <c r="C2" s="4" t="inlineStr">
        <is>
          <t>Início dos serviços x fim do SIEM legado</t>
        </is>
      </c>
      <c r="D2" s="4" t="inlineStr">
        <is>
          <t>RFP 3.1</t>
        </is>
      </c>
      <c r="E2" s="4" t="inlineStr">
        <is>
          <t>PPTX slide 3</t>
        </is>
      </c>
      <c r="F2" s="4" t="inlineStr">
        <is>
          <t>Início previsto em 01/02/2027. O contrato do SIEM legado termina em 31/01/2027, sem possibilidade de prorrogação.</t>
        </is>
      </c>
      <c r="G2" s="4" t="inlineStr">
        <is>
          <t>01/02/2027 (go-live sem folga)</t>
        </is>
      </c>
      <c r="H2" s="4" t="inlineStr">
        <is>
          <t>Sem margem de contingência</t>
        </is>
      </c>
      <c r="I2" s="4" t="inlineStr">
        <is>
          <t>Alto</t>
        </is>
      </c>
      <c r="J2" s="4" t="inlineStr">
        <is>
          <t>Não há folga: se o novo SIEM não estiver operando em 01/02/2027, o banco fica sem monitoramento. A migração de 24 meses de logs (TS-06) também precisa acontecer antes de 31/01/2027, enquanto o legado ainda existe. A data de assinatura do contrato não foi informada.</t>
        </is>
      </c>
      <c r="K2" s="4" t="inlineStr">
        <is>
          <t>Pedir a data prevista de assinatura. Condicionar os prazos de transição à assinatura e ao cumprimento das obrigações do Contratante. Prever plano de contingência.</t>
        </is>
      </c>
      <c r="L2" s="4" t="inlineStr">
        <is>
          <t>PE-03</t>
        </is>
      </c>
    </row>
    <row r="3">
      <c r="A3" s="4" t="inlineStr">
        <is>
          <t>CR-05</t>
        </is>
      </c>
      <c r="B3" s="4" t="inlineStr">
        <is>
          <t>Cronograma</t>
        </is>
      </c>
      <c r="C3" s="4" t="inlineStr">
        <is>
          <t>Prazo de transição</t>
        </is>
      </c>
      <c r="D3" s="4" t="inlineStr">
        <is>
          <t>RFP 3.2</t>
        </is>
      </c>
      <c r="E3" s="4" t="inlineStr">
        <is>
          <t>Anexo I 4.1</t>
        </is>
      </c>
      <c r="F3" s="4" t="inlineStr">
        <is>
          <t>RFP 3.2: transição concluída em até 30 dias corridos da assinatura. Anexo I 4.1: até 60 dias corridos da assinatura.</t>
        </is>
      </c>
      <c r="G3" s="4" t="inlineStr">
        <is>
          <t>INDEFINIDO: 30 x 60 dias (adotar 30 dias como pior caso)</t>
        </is>
      </c>
      <c r="H3" s="4" t="inlineStr">
        <is>
          <t>CONFLITO RFP x Anexo I</t>
        </is>
      </c>
      <c r="I3" s="4" t="inlineStr">
        <is>
          <t>Alto</t>
        </is>
      </c>
      <c r="J3" s="4" t="inlineStr">
        <is>
          <t>Os dois documentos divergem e o Q&amp;A não tratou do tema. O plano de transição vale 10 pontos (6.2). Com 30 dias, a equipe de onboarding fica mais concentrada e mais cara. Somado à multa de 10% por SLA (CT-04), o atraso na transição é um risco relevante.</t>
        </is>
      </c>
      <c r="K3" s="4" t="inlineStr">
        <is>
          <t>Pedir esclarecimento. Precificar e planejar para 30 dias, com a premissa de que a contagem só corre após a entrega da documentação (CR-07) e dos acessos (VPN).</t>
        </is>
      </c>
      <c r="L3" s="4" t="inlineStr">
        <is>
          <t>PE-04</t>
        </is>
      </c>
    </row>
    <row r="4">
      <c r="A4" s="4" t="inlineStr">
        <is>
          <t>PR-05</t>
        </is>
      </c>
      <c r="B4" s="4" t="inlineStr">
        <is>
          <t>Proposta (forma)</t>
        </is>
      </c>
      <c r="C4" s="4" t="inlineStr">
        <is>
          <t>Questionário técnico integral</t>
        </is>
      </c>
      <c r="D4" s="4" t="inlineStr">
        <is>
          <t>RFP 4.4</t>
        </is>
      </c>
      <c r="E4" s="4" t="inlineStr">
        <is>
          <t>XLSX aba Instruções</t>
        </is>
      </c>
      <c r="F4" s="4" t="inlineStr">
        <is>
          <t>O questionário deve ser integralmente preenchido. Instruções da planilha: 'o preenchimento de todas as abas é obrigatório; questionários incompletos serão desclassificados'.</t>
        </is>
      </c>
      <c r="G4" s="4" t="inlineStr">
        <is>
          <t>Preencher as colunas D e E de QT-01 a QT-06</t>
        </is>
      </c>
      <c r="H4" s="4" t="inlineStr">
        <is>
          <t>Ambiguidade ('todas as abas')</t>
        </is>
      </c>
      <c r="I4" s="4" t="inlineStr">
        <is>
          <t>Alto</t>
        </is>
      </c>
      <c r="J4" s="4" t="inlineStr">
        <is>
          <t>As abas 'Q&amp;A Rodada 1' e 'Pesos' (oculta) não são de preenchimento, mas a instrução diz 'todas as abas'. O risco de desclassificação é formal.</t>
        </is>
      </c>
      <c r="K4" s="4" t="inlineStr">
        <is>
          <t>Preencher todo o Questionário Técnico, inclusive Comentários. Não alterar as demais abas. Confirmar via Q&amp;A quais abas exigem preenchimento.</t>
        </is>
      </c>
      <c r="L4" s="4" t="inlineStr">
        <is>
          <t>PE-13</t>
        </is>
      </c>
    </row>
    <row r="5">
      <c r="A5" s="4" t="inlineStr">
        <is>
          <t>PR-06</t>
        </is>
      </c>
      <c r="B5" s="4" t="inlineStr">
        <is>
          <t>Proposta (forma)</t>
        </is>
      </c>
      <c r="C5" s="4" t="inlineStr">
        <is>
          <t>Declaração de localização de dados (Anexo III)</t>
        </is>
      </c>
      <c r="D5" s="4" t="inlineStr">
        <is>
          <t>RFP p.6 (Anexo III, escaneado)</t>
        </is>
      </c>
      <c r="E5" s="4" t="inlineStr">
        <is>
          <t>RFP 5.1c; Q&amp;A #2</t>
        </is>
      </c>
      <c r="F5" s="4" t="inlineStr">
        <is>
          <t>Declaração assinada pelo representante legal: todos os dados do Banco, inclusive logs de segurança, serão armazenados e processados exclusivamente em território nacional durante toda a vigência. Deve ser entregue com a proposta, sob pena de inabilitação.</t>
        </is>
      </c>
      <c r="G5" s="4" t="inlineStr">
        <is>
          <t>Obrigatória: dados e logs só no Brasil</t>
        </is>
      </c>
      <c r="H5" s="4" t="inlineStr">
        <is>
          <t>CONFLITO com Anexo I 1.2 (nuvem em região livre)</t>
        </is>
      </c>
      <c r="I5" s="4" t="inlineStr">
        <is>
          <t>Alto</t>
        </is>
      </c>
      <c r="J5" s="4" t="inlineStr">
        <is>
          <t>A declaração vincula toda a cadeia: SIEM em nuvem, backups, DR, threat intel e suporte do fabricante com acesso a dados. Assinar exige garantir que nenhum componente (inclusive telemetria do fabricante do SIEM) processe dados fora do Brasil. A página é imagem, sem texto extraível.</t>
        </is>
      </c>
      <c r="K5" s="4" t="inlineStr">
        <is>
          <t>Validar a arquitetura antes da assinatura: região Brasil do hyperscaler, DR no Brasil e suporte do fabricante sem acesso a dados fora do país. Colher a assinatura do representante legal com procuração válida.</t>
        </is>
      </c>
      <c r="L5" s="4" t="inlineStr">
        <is>
          <t>PE-06</t>
        </is>
      </c>
    </row>
    <row r="6">
      <c r="A6" s="4" t="inlineStr">
        <is>
          <t>AV-02</t>
        </is>
      </c>
      <c r="B6" s="4" t="inlineStr">
        <is>
          <t>Avaliação</t>
        </is>
      </c>
      <c r="C6" s="4" t="inlineStr">
        <is>
          <t>Soma dos critérios técnicos</t>
        </is>
      </c>
      <c r="D6" s="4" t="inlineStr">
        <is>
          <t>RFP 6.2</t>
        </is>
      </c>
      <c r="E6" s="4" t="inlineStr"/>
      <c r="F6" s="4" t="inlineStr">
        <is>
          <t>Nota Técnica de no máximo 60 pontos, mas os critérios somam 65 (Metodologia 20 + Equipe 20 + Ferramentas 15 + Transição 10).</t>
        </is>
      </c>
      <c r="G6" s="4" t="inlineStr">
        <is>
          <t>INDEFINIDO: 60 x 65</t>
        </is>
      </c>
      <c r="H6" s="4" t="inlineStr">
        <is>
          <t>INCONSISTÊNCIA interna do RFP</t>
        </is>
      </c>
      <c r="I6" s="4" t="inlineStr">
        <is>
          <t>Alto</t>
        </is>
      </c>
      <c r="J6" s="4" t="inlineStr">
        <is>
          <t>Erro aritmético no RFP. Afeta a nota de corte (AV-03) e a normalização da nota técnica.</t>
        </is>
      </c>
      <c r="K6" s="4" t="inlineStr">
        <is>
          <t>Pedir correção via Q&amp;A. Enquanto isso, mirar no corte mais exigente (45,5 pontos).</t>
        </is>
      </c>
      <c r="L6" s="4" t="inlineStr">
        <is>
          <t>PE-07</t>
        </is>
      </c>
    </row>
    <row r="7">
      <c r="A7" s="4" t="inlineStr">
        <is>
          <t>AV-05</t>
        </is>
      </c>
      <c r="B7" s="4" t="inlineStr">
        <is>
          <t>Avaliação</t>
        </is>
      </c>
      <c r="C7" s="4" t="inlineStr">
        <is>
          <t>Pesos e penalidade ocultos no questionário</t>
        </is>
      </c>
      <c r="D7" s="4" t="inlineStr">
        <is>
          <t>XLSX aba 'Pesos' (OCULTA)</t>
        </is>
      </c>
      <c r="E7" s="4" t="inlineStr">
        <is>
          <t>Questionário QT-01 a QT-06</t>
        </is>
      </c>
      <c r="F7" s="4" t="inlineStr">
        <is>
          <t>Aba oculta com pesos (QT-01=3, QT-02=1, QT-03=2, QT-04=3, QT-05=2, QT-06=2) e a regra: 'requisitos não obrigatórios respondidos como Não atende reduzem a Nota Técnica em 2 pontos cada'.</t>
        </is>
      </c>
      <c r="G7" s="4" t="inlineStr">
        <is>
          <t>QT-02 (SOAR) e QT-05 (Threat Intel) = -2 pts cada se 'Não atende'</t>
        </is>
      </c>
      <c r="H7" s="4" t="inlineStr">
        <is>
          <t>CRITÉRIO OCULTO / não previsto no RFP</t>
        </is>
      </c>
      <c r="I7" s="4" t="inlineStr">
        <is>
          <t>Alto</t>
        </is>
      </c>
      <c r="J7" s="4" t="inlineStr">
        <is>
          <t>O critério não aparece nos itens 6.1 a 6.3. Requisitos 'não obrigatórios' acabam pontuando: deixar de oferecer SOAR ou threat intel custa até 4 pontos. A regra não diz o que acontece com 'Parcial'. Os pesos não têm uso explicado.</t>
        </is>
      </c>
      <c r="K7" s="4" t="inlineStr">
        <is>
          <t>Oferecer SOAR e threat intelligence (ao menos como 'Atende' com escopo básico, ou 'Parcial' bem justificado). Jurídico: avaliar se cabe questionar a transparência do critério. Pedir confirmação via Q&amp;A.</t>
        </is>
      </c>
      <c r="L7" s="4" t="inlineStr">
        <is>
          <t>PE-08</t>
        </is>
      </c>
    </row>
    <row r="8">
      <c r="A8" s="4" t="inlineStr">
        <is>
          <t>TS-02</t>
        </is>
      </c>
      <c r="B8" s="4" t="inlineStr">
        <is>
          <t>Escopo SOC</t>
        </is>
      </c>
      <c r="C8" s="4" t="inlineStr">
        <is>
          <t>SIEM fornecido pelo proponente / localização</t>
        </is>
      </c>
      <c r="D8" s="4" t="inlineStr">
        <is>
          <t>Anexo I 1.2</t>
        </is>
      </c>
      <c r="E8" s="4" t="inlineStr">
        <is>
          <t>Anexo III; RFP 1.2 (Res. CMN 4.893); QT-04</t>
        </is>
      </c>
      <c r="F8" s="4" t="inlineStr">
        <is>
          <t>O proponente fornece o SIEM, 'podendo ser disponibilizado em nuvem pública, em região de livre escolha do proponente'.</t>
        </is>
      </c>
      <c r="G8" s="4" t="inlineStr">
        <is>
          <t>SIEM do proponente, OBRIGATORIAMENTE em região no Brasil</t>
        </is>
      </c>
      <c r="H8" s="4" t="inlineStr">
        <is>
          <t>CONFLITO Anexo I 1.2 x Anexo III</t>
        </is>
      </c>
      <c r="I8" s="4" t="inlineStr">
        <is>
          <t>Alto</t>
        </is>
      </c>
      <c r="J8" s="4" t="inlineStr">
        <is>
          <t>A 'região de livre escolha' contradiz a declaração do Anexo III (dados e logs só no Brasil, sob pena de inabilitação). Prevalece a regra mais restritiva e eliminatória. Regiões no Brasil costumam custar mais, e alguns SIEM SaaS não têm instância no país.</t>
        </is>
      </c>
      <c r="K8" s="4" t="inlineStr">
        <is>
          <t>Arquitetar e precificar o SIEM 100% no Brasil (inclusive DR e backup). Responder QT-04 de forma coerente. Pedir confirmação via Q&amp;A.</t>
        </is>
      </c>
      <c r="L8" s="4" t="inlineStr">
        <is>
          <t>PE-06</t>
        </is>
      </c>
    </row>
    <row r="9">
      <c r="A9" s="4" t="inlineStr">
        <is>
          <t>TS-03</t>
        </is>
      </c>
      <c r="B9" s="4" t="inlineStr">
        <is>
          <t>Escopo SOC</t>
        </is>
      </c>
      <c r="C9" s="4" t="inlineStr">
        <is>
          <t>Retenção de logs</t>
        </is>
      </c>
      <c r="D9" s="4" t="inlineStr">
        <is>
          <t>Anexo I 1.3</t>
        </is>
      </c>
      <c r="E9" s="4" t="inlineStr">
        <is>
          <t>Anexo I 1.6; QT-03</t>
        </is>
      </c>
      <c r="F9" s="4" t="inlineStr">
        <is>
          <t>1.3: logs retidos por no mínimo 12 meses. 1.6: para auditoria, logs mantidos por 5 anos. QT-03: 'retém os logs online por no mínimo 12 meses?'.</t>
        </is>
      </c>
      <c r="G9" s="4" t="inlineStr">
        <is>
          <t>Premissa: 12 meses online + 5 anos em arquivo (cold storage)</t>
        </is>
      </c>
      <c r="H9" s="4" t="inlineStr">
        <is>
          <t>CONFLITO interno do Anexo I (12 meses x 5 anos)</t>
        </is>
      </c>
      <c r="I9" s="4" t="inlineStr">
        <is>
          <t>Alto</t>
        </is>
      </c>
      <c r="J9" s="4" t="inlineStr">
        <is>
          <t>A leitura mais coerente com o QT-03 é 12 meses de retenção online (pesquisável) e 5 anos de arquivo. Não está definido: tempo de recuperação do arquivo, quem guarda os logs após o fim do contrato, se há devolução ao final e se os 5 anos correm durante ou após a vigência. O volume é desconhecido (EPS não informado: TS-04).</t>
        </is>
      </c>
      <c r="K9" s="4" t="inlineStr">
        <is>
          <t>Precificar armazenamento em camadas (hot 12 meses, cold 5 anos) com preço unitário por GB/TB excedente. Definir a devolução dos logs ao fim do contrato.</t>
        </is>
      </c>
      <c r="L9" s="4" t="inlineStr">
        <is>
          <t>PE-09</t>
        </is>
      </c>
    </row>
    <row r="10">
      <c r="A10" s="4" t="inlineStr">
        <is>
          <t>TS-04</t>
        </is>
      </c>
      <c r="B10" s="4" t="inlineStr">
        <is>
          <t>Escopo SOC</t>
        </is>
      </c>
      <c r="C10" s="4" t="inlineStr">
        <is>
          <t>Integração do SIEM com 'todos os ativos relevantes' / volumetria</t>
        </is>
      </c>
      <c r="D10" s="4" t="inlineStr">
        <is>
          <t>Anexo I 1.4</t>
        </is>
      </c>
      <c r="E10" s="4" t="inlineStr">
        <is>
          <t>Q&amp;A #3; PPTX slide 2</t>
        </is>
      </c>
      <c r="F10" s="4" t="inlineStr">
        <is>
          <t>SIEM integrado a todos os ativos relevantes. Q&amp;A #3: a volumetria (EPS) será informada somente ao vencedor. PPTX: 850 servidores (70% Windows, 30% Linux), 2 data centers (SP e Campinas) e 2 nuvens públicas.</t>
        </is>
      </c>
      <c r="G10" s="4" t="inlineStr">
        <is>
          <t>Escopo aberto; EPS desconhecido</t>
        </is>
      </c>
      <c r="H10" s="4" t="inlineStr">
        <is>
          <t>Ambiguidade crítica (escopo e volumetria)</t>
        </is>
      </c>
      <c r="I10" s="4" t="inlineStr">
        <is>
          <t>Alto</t>
        </is>
      </c>
      <c r="J10" s="4" t="inlineStr">
        <is>
          <t>Licenças de SIEM e armazenamento costumam ser cobrados por EPS ou GB/dia. Sem a volumetria, o preço fixo carrega um risco ilimitado de sobrecusto. 'Ativos relevantes' não está definido: não se sabe se inclui estações, rede, aplicações, SaaS ou subsidiárias.</t>
        </is>
      </c>
      <c r="K10" s="4" t="inlineStr">
        <is>
          <t>Declarar uma premissa de EPS e GB/dia estimados (ex.: com base em 850 servidores, 2 DCs e 2 nuvens), com faixa contratada e preço unitário por excedente. Definir a lista de fontes de log no anexo da proposta. Insistir na volumetria via Q&amp;A.</t>
        </is>
      </c>
      <c r="L10" s="4" t="inlineStr">
        <is>
          <t>PE-10</t>
        </is>
      </c>
    </row>
    <row r="11">
      <c r="A11" s="4" t="inlineStr">
        <is>
          <t>TS-05</t>
        </is>
      </c>
      <c r="B11" s="4" t="inlineStr">
        <is>
          <t>Escopo SOC</t>
        </is>
      </c>
      <c r="C11" s="4" t="inlineStr">
        <is>
          <t>Resposta a incidentes</t>
        </is>
      </c>
      <c r="D11" s="4" t="inlineStr">
        <is>
          <t>Anexo I 1.5</t>
        </is>
      </c>
      <c r="E11" s="4" t="inlineStr">
        <is>
          <t>Anexo I 6.1</t>
        </is>
      </c>
      <c r="F11" s="4" t="inlineStr">
        <is>
          <t>Resposta a incidentes, incluindo contenção, erradicação e relatório pós-incidente.</t>
        </is>
      </c>
      <c r="G11" s="4" t="inlineStr">
        <is>
          <t>IR incluso</t>
        </is>
      </c>
      <c r="H11" s="4" t="inlineStr">
        <is>
          <t>Ambiguidade (limites do IR)</t>
        </is>
      </c>
      <c r="I11" s="4" t="inlineStr">
        <is>
          <t>Alto</t>
        </is>
      </c>
      <c r="J11" s="4" t="inlineStr">
        <is>
          <t>Não há limites: não se sabe se o atendimento é remoto ou presencial, se inclui forense e recuperação, nem quantas horas ou incidentes estão cobertos. Somado à responsabilidade ilimitada (CT-05), executar contenção e erradicação aumenta a exposição.</t>
        </is>
      </c>
      <c r="K11" s="4" t="inlineStr">
        <is>
          <t>Definir o escopo de IR (remoto, banco de horas, forense como opcional) e as responsabilidades de cada parte em matriz RACI.</t>
        </is>
      </c>
      <c r="L11" s="4" t="inlineStr">
        <is>
          <t>PE-11</t>
        </is>
      </c>
    </row>
    <row r="12">
      <c r="A12" s="4" t="inlineStr">
        <is>
          <t>TS-06</t>
        </is>
      </c>
      <c r="B12" s="4" t="inlineStr">
        <is>
          <t>Escopo SOC</t>
        </is>
      </c>
      <c r="C12" s="4" t="inlineStr">
        <is>
          <t>Migração de 24 meses de logs históricos</t>
        </is>
      </c>
      <c r="D12" s="4" t="inlineStr">
        <is>
          <t>PPTX slide 5</t>
        </is>
      </c>
      <c r="E12" s="4" t="inlineStr">
        <is>
          <t>Anexo I 1.3/1.6; PPTX slide 3</t>
        </is>
      </c>
      <c r="F12" s="4" t="inlineStr">
        <is>
          <t>Expectativa apresentada no workshop: migrar 24 meses de logs históricos do SIEM legado para a nova plataforma.</t>
        </is>
      </c>
      <c r="G12" s="4" t="inlineStr">
        <is>
          <t>Fora do RFP/Anexo I: tratar como opcional</t>
        </is>
      </c>
      <c r="H12" s="4" t="inlineStr">
        <is>
          <t>ESCOPO NÃO FORMALIZADO</t>
        </is>
      </c>
      <c r="I12" s="4" t="inlineStr">
        <is>
          <t>Alto</t>
        </is>
      </c>
      <c r="J12" s="4" t="inlineStr">
        <is>
          <t>Não consta no RFP nem no Anexo I. O volume é desconhecido e a migração depende do fornecedor e do formato do SIEM legado, cujo contrato acaba em 31/01/2027. Se virar obrigação depois, gera custo não precificado.</t>
        </is>
      </c>
      <c r="K12" s="4" t="inlineStr">
        <is>
          <t>Perguntar via Q&amp;A se faz parte do escopo. Cotar como item opcional e separado, com premissas de volume e formato e com a cooperação do fornecedor atual.</t>
        </is>
      </c>
      <c r="L12" s="4" t="inlineStr">
        <is>
          <t>PE-02</t>
        </is>
      </c>
    </row>
    <row r="13">
      <c r="A13" s="4" t="inlineStr">
        <is>
          <t>SL-01</t>
        </is>
      </c>
      <c r="B13" s="4" t="inlineStr">
        <is>
          <t>SLA</t>
        </is>
      </c>
      <c r="C13" s="4" t="inlineStr">
        <is>
          <t>Início de tratamento de incidentes críticos</t>
        </is>
      </c>
      <c r="D13" s="4" t="inlineStr">
        <is>
          <t>Anexo I 2.1</t>
        </is>
      </c>
      <c r="E13" s="4" t="inlineStr">
        <is>
          <t>RFP 7.4</t>
        </is>
      </c>
      <c r="F13" s="4" t="inlineStr">
        <is>
          <t>Tempo máximo de 15 minutos para iniciar o tratamento de incidentes críticos.</t>
        </is>
      </c>
      <c r="G13" s="4" t="inlineStr">
        <is>
          <t>15 min</t>
        </is>
      </c>
      <c r="H13" s="4" t="inlineStr">
        <is>
          <t>—</t>
        </is>
      </c>
      <c r="I13" s="4" t="inlineStr">
        <is>
          <t>Alto</t>
        </is>
      </c>
      <c r="J13" s="4" t="inlineStr">
        <is>
          <t>Cada violação gera multa de 10% do valor mensal (CT-04). Não está definido o marco inicial: detecção, alerta ou abertura do chamado.</t>
        </is>
      </c>
      <c r="K13" s="4" t="inlineStr">
        <is>
          <t>Definir o marco de início e de 'início do tratamento'. Dimensionar o N2 de plantão.</t>
        </is>
      </c>
      <c r="L13" s="4" t="inlineStr">
        <is>
          <t>PE-12</t>
        </is>
      </c>
    </row>
    <row r="14">
      <c r="A14" s="4" t="inlineStr">
        <is>
          <t>SL-04</t>
        </is>
      </c>
      <c r="B14" s="4" t="inlineStr">
        <is>
          <t>SLA</t>
        </is>
      </c>
      <c r="C14" s="4" t="inlineStr">
        <is>
          <t>Classificação de criticidade</t>
        </is>
      </c>
      <c r="D14" s="4" t="inlineStr">
        <is>
          <t>Anexo I 2.4</t>
        </is>
      </c>
      <c r="E14" s="4" t="inlineStr"/>
      <c r="F14" s="4" t="inlineStr">
        <is>
          <t>A criticidade dos incidentes segue a matriz de classificação do Contratante.</t>
        </is>
      </c>
      <c r="G14" s="4" t="inlineStr">
        <is>
          <t>Matriz não fornecida</t>
        </is>
      </c>
      <c r="H14" s="4" t="inlineStr">
        <is>
          <t>Ambiguidade (matriz desconhecida)</t>
        </is>
      </c>
      <c r="I14" s="4" t="inlineStr">
        <is>
          <t>Alto</t>
        </is>
      </c>
      <c r="J14" s="4" t="inlineStr">
        <is>
          <t>O Contratante define sozinho o que é 'crítico' e, com isso, o volume de SLA de 15 minutos e de multas.</t>
        </is>
      </c>
      <c r="K14" s="4" t="inlineStr">
        <is>
          <t>Pedir a matriz. Propor que a classificação seja acordada na transição e que mudanças passem por governança.</t>
        </is>
      </c>
      <c r="L14" s="4" t="inlineStr">
        <is>
          <t>PE-12</t>
        </is>
      </c>
    </row>
    <row r="15">
      <c r="A15" s="4" t="inlineStr">
        <is>
          <t>IA-01</t>
        </is>
      </c>
      <c r="B15" s="4" t="inlineStr">
        <is>
          <t>Escopo IAM</t>
        </is>
      </c>
      <c r="C15" s="4" t="inlineStr">
        <is>
          <t>Ciclo de vida de identidades / revogação em 24h</t>
        </is>
      </c>
      <c r="D15" s="4" t="inlineStr">
        <is>
          <t>Anexo I 3.1</t>
        </is>
      </c>
      <c r="E15" s="4" t="inlineStr">
        <is>
          <t>PPTX slide 3</t>
        </is>
      </c>
      <c r="F15" s="4" t="inlineStr">
        <is>
          <t>Gestão de admissão, movimentação e desligamento, com revogação dos acessos de desligados em até 24 horas. Ambiente atual: Active Directory + scripts internos.</t>
        </is>
      </c>
      <c r="G15" s="4" t="inlineStr">
        <is>
          <t>Revogação em 24h</t>
        </is>
      </c>
      <c r="H15" s="4" t="inlineStr">
        <is>
          <t>Ambiguidade (gatilho e ferramenta)</t>
        </is>
      </c>
      <c r="I15" s="4" t="inlineStr">
        <is>
          <t>Alto</t>
        </is>
      </c>
      <c r="J15" s="4" t="inlineStr">
        <is>
          <t>O prazo depende de o RH comunicar o desligamento. Não se sabe se o proponente fornece ferramenta de IGA nem quais sistemas-alvo entram, além do AD.</t>
        </is>
      </c>
      <c r="K15" s="4" t="inlineStr">
        <is>
          <t>Definir o gatilho (evento do RH), os sistemas-alvo e se haverá ferramenta de IGA fornecida. Cotar a integração com o RH.</t>
        </is>
      </c>
      <c r="L15" s="4" t="inlineStr">
        <is>
          <t>PE-11</t>
        </is>
      </c>
    </row>
    <row r="16">
      <c r="A16" s="4" t="inlineStr">
        <is>
          <t>DM-01</t>
        </is>
      </c>
      <c r="B16" s="4" t="inlineStr">
        <is>
          <t>Dimensionamento</t>
        </is>
      </c>
      <c r="C16" s="4" t="inlineStr">
        <is>
          <t>Número de usuários</t>
        </is>
      </c>
      <c r="D16" s="4" t="inlineStr">
        <is>
          <t>Q&amp;A #5</t>
        </is>
      </c>
      <c r="E16" s="4" t="inlineStr">
        <is>
          <t>RFP 2.1; PPTX slide 2; PPTX notas slide 5</t>
        </is>
      </c>
      <c r="F16" s="4" t="inlineStr">
        <is>
          <t>RFP 2.1: cerca de 4.500 colaboradores. PPTX: 6.200 usuários ativos. Notas do PPTX: mais cerca de 900 usuários das subsidiárias. Q&amp;A #5: 'considerar 5.000 usuários'.</t>
        </is>
      </c>
      <c r="G16" s="4" t="inlineStr">
        <is>
          <t>5.000 usuários (Q&amp;A #5) com preço por excedente</t>
        </is>
      </c>
      <c r="H16" s="4" t="inlineStr">
        <is>
          <t>CONFLITO entre 4 números (4.500 / 5.000 / 6.200 / ~7.100)</t>
        </is>
      </c>
      <c r="I16" s="4" t="inlineStr">
        <is>
          <t>Alto</t>
        </is>
      </c>
      <c r="J16" s="4" t="inlineStr">
        <is>
          <t>O Q&amp;A é a fonte oficial mais recente, mas o próprio banco mostrou 6.200 usuários ativos (talvez incluindo terceiros ou contas de serviço) e, com as subsidiárias, cerca de 7.100. Precificar só com 5.000 pode subdimensionar o serviço em até 42%.</t>
        </is>
      </c>
      <c r="K16" s="4" t="inlineStr">
        <is>
          <t>Precificar a base de 5.000 conforme o Q&amp;A, com preço unitário por usuário adicional e faixas. Declarar a premissa na proposta e pedir a definição de 'usuário' (colaborador, terceiro, conta de serviço).</t>
        </is>
      </c>
      <c r="L16" s="4" t="inlineStr">
        <is>
          <t>PE-01</t>
        </is>
      </c>
    </row>
    <row r="17">
      <c r="A17" s="4" t="inlineStr">
        <is>
          <t>DM-02</t>
        </is>
      </c>
      <c r="B17" s="4" t="inlineStr">
        <is>
          <t>Dimensionamento</t>
        </is>
      </c>
      <c r="C17" s="4" t="inlineStr">
        <is>
          <t>Subsidiárias no escopo</t>
        </is>
      </c>
      <c r="D17" s="4" t="inlineStr">
        <is>
          <t>PPTX notas do slide 5</t>
        </is>
      </c>
      <c r="E17" s="4" t="inlineStr">
        <is>
          <t>RFP 2.1</t>
        </is>
      </c>
      <c r="F17" s="4" t="inlineStr">
        <is>
          <t>Nota do apresentador: Horizonte Seguros e Horizonte Investimentos (cerca de 900 usuários) também deverão entrar no escopo.</t>
        </is>
      </c>
      <c r="G17" s="4" t="inlineStr">
        <is>
          <t>Fora do RFP: tratar como opcional</t>
        </is>
      </c>
      <c r="H17" s="4" t="inlineStr">
        <is>
          <t>ESCOPO NÃO FORMALIZADO</t>
        </is>
      </c>
      <c r="I17" s="4" t="inlineStr">
        <is>
          <t>Alto</t>
        </is>
      </c>
      <c r="J17" s="4" t="inlineStr">
        <is>
          <t>Essa informação está só nas notas do apresentador. O RFP fala em contratante único. As subsidiárias são pessoas jurídicas distintas e podem ter outros reguladores (seguradora/SUSEP, gestora/CVM). Isso afeta partes do contrato, faturamento, Anexo III, SLA e responsabilidade.</t>
        </is>
      </c>
      <c r="K17" s="4" t="inlineStr">
        <is>
          <t>Perguntar via Q&amp;A. Se confirmado, cotar como módulo opcional e exigir que as subsidiárias sejam partes ou intervenientes no contrato.</t>
        </is>
      </c>
      <c r="L17" s="4" t="inlineStr">
        <is>
          <t>PE-01</t>
        </is>
      </c>
    </row>
    <row r="18">
      <c r="A18" s="4" t="inlineStr">
        <is>
          <t>CT-04</t>
        </is>
      </c>
      <c r="B18" s="4" t="inlineStr">
        <is>
          <t>Contratual</t>
        </is>
      </c>
      <c r="C18" s="4" t="inlineStr">
        <is>
          <t>Multa por descumprimento de SLA</t>
        </is>
      </c>
      <c r="D18" s="4" t="inlineStr">
        <is>
          <t>RFP 7.4</t>
        </is>
      </c>
      <c r="E18" s="4" t="inlineStr">
        <is>
          <t>Q&amp;A #4; Anexo I 2</t>
        </is>
      </c>
      <c r="F18" s="4" t="inlineStr">
        <is>
          <t>Multa de 10% do valor mensal do contrato por ocorrência de descumprimento de qualquer SLA. Q&amp;A #4: 'as condições do item 7 permanecem inalteradas' (sem teto).</t>
        </is>
      </c>
      <c r="G18" s="4" t="inlineStr">
        <is>
          <t>10% por ocorrência, SEM TETO</t>
        </is>
      </c>
      <c r="H18" s="4" t="inlineStr">
        <is>
          <t>Risco crítico (Q&amp;A recusou limitar)</t>
        </is>
      </c>
      <c r="I18" s="4" t="inlineStr">
        <is>
          <t>Alto</t>
        </is>
      </c>
      <c r="J18" s="4" t="inlineStr">
        <is>
          <t>Dez ocorrências no mês consomem 100% da mensalidade. A multa vale para todos os SLAs, inclusive atraso de relatório, e a criticidade é definida pelo banco (SL-04). Não há gradação nem cura, e o tema não foi negociado no Q&amp;A.</t>
        </is>
      </c>
      <c r="K18" s="4" t="inlineStr">
        <is>
          <t>Jurídico: propor teto mensal (ex.: 10-20% da fatura), gradação por SLA, período de carência na transição e exclusões. Pricing: provisionar risco. Avaliar se a proposta pode trazer ressalvas sem desclassificação.</t>
        </is>
      </c>
      <c r="L18" s="4" t="inlineStr">
        <is>
          <t>PE-16</t>
        </is>
      </c>
    </row>
    <row r="19">
      <c r="A19" s="4" t="inlineStr">
        <is>
          <t>CT-05</t>
        </is>
      </c>
      <c r="B19" s="4" t="inlineStr">
        <is>
          <t>Contratual</t>
        </is>
      </c>
      <c r="C19" s="4" t="inlineStr">
        <is>
          <t>Responsabilidade ilimitada</t>
        </is>
      </c>
      <c r="D19" s="4" t="inlineStr">
        <is>
          <t>RFP 7.5</t>
        </is>
      </c>
      <c r="E19" s="4" t="inlineStr"/>
      <c r="F19" s="4" t="inlineStr">
        <is>
          <t>A Contratada responde de forma integral e ilimitada por quaisquer danos decorrentes de incidentes de segurança no ambiente do Contratante.</t>
        </is>
      </c>
      <c r="G19" s="4" t="inlineStr">
        <is>
          <t>Ilimitada, sem nexo causal</t>
        </is>
      </c>
      <c r="H19" s="4" t="inlineStr">
        <is>
          <t>Risco crítico / possível no-go</t>
        </is>
      </c>
      <c r="I19" s="4" t="inlineStr">
        <is>
          <t>Alto</t>
        </is>
      </c>
      <c r="J19" s="4" t="inlineStr">
        <is>
          <t>Na redação atual, a Contratada responde por qualquer incidente no ambiente do banco, mesmo sem culpa ou nexo com o serviço (ex.: falha de sistema do próprio banco). Inclui danos indiretos e lucros cessantes. Nenhum seguro cobre esse risco, e a cláusula conflita com 7.6.</t>
        </is>
      </c>
      <c r="K19" s="4" t="inlineStr">
        <is>
          <t>Ponto de go/no-go. Propor responsabilidade limitada a 12 meses de contrato, apenas por culpa comprovada e excluindo danos indiretos. Escalar à diretoria.</t>
        </is>
      </c>
      <c r="L19" s="4" t="inlineStr">
        <is>
          <t>PE-16</t>
        </is>
      </c>
    </row>
    <row r="20">
      <c r="A20" s="4" t="inlineStr">
        <is>
          <t>CT-07</t>
        </is>
      </c>
      <c r="B20" s="4" t="inlineStr">
        <is>
          <t>Contratual</t>
        </is>
      </c>
      <c r="C20" s="4" t="inlineStr">
        <is>
          <t>Vedação à subcontratação</t>
        </is>
      </c>
      <c r="D20" s="4" t="inlineStr">
        <is>
          <t>RFP 7.7</t>
        </is>
      </c>
      <c r="E20" s="4" t="inlineStr">
        <is>
          <t>Anexo I 1.2</t>
        </is>
      </c>
      <c r="F20" s="4" t="inlineStr">
        <is>
          <t>É vedada a subcontratação, total ou parcial, do objeto.</t>
        </is>
      </c>
      <c r="G20" s="4" t="inlineStr">
        <is>
          <t>Vedada</t>
        </is>
      </c>
      <c r="H20" s="4" t="inlineStr">
        <is>
          <t>CONFLITO prático com SIEM em nuvem / fabricantes</t>
        </is>
      </c>
      <c r="I20" s="4" t="inlineStr">
        <is>
          <t>Alto</t>
        </is>
      </c>
      <c r="J20" s="4" t="inlineStr">
        <is>
          <t>O próprio Anexo I prevê SIEM em nuvem pública, ou seja, um hyperscaler. Suporte de fabricante, threat intel de terceiros e forense especializada também podem ser vistos como subcontratação. A vedação também impede consórcio ou parceiro para IAM.</t>
        </is>
      </c>
      <c r="K20" s="4" t="inlineStr">
        <is>
          <t>Pedir confirmação de que provedores de nuvem, licenças e suporte de fabricantes não são subcontratação. Listar os terceiros na proposta.</t>
        </is>
      </c>
      <c r="L20" s="4" t="inlineStr">
        <is>
          <t>PE-17</t>
        </is>
      </c>
    </row>
    <row r="21">
      <c r="A21" s="4" t="inlineStr">
        <is>
          <t>CT-09</t>
        </is>
      </c>
      <c r="B21" s="4" t="inlineStr">
        <is>
          <t>Contratual</t>
        </is>
      </c>
      <c r="C21" s="4" t="inlineStr">
        <is>
          <t>Hierarquia entre documentos</t>
        </is>
      </c>
      <c r="D21" s="4" t="inlineStr">
        <is>
          <t>RFP (omissão)</t>
        </is>
      </c>
      <c r="E21" s="4" t="inlineStr">
        <is>
          <t>Q&amp;A; Anexo I; PPTX</t>
        </is>
      </c>
      <c r="F21" s="4" t="inlineStr">
        <is>
          <t>O RFP não define a precedência entre RFP, anexos, Q&amp;A e materiais do workshop.</t>
        </is>
      </c>
      <c r="G21" s="4" t="inlineStr">
        <is>
          <t>Adotada: Q&amp;A &gt; RFP &gt; Anexo I &gt; questionário &gt; workshop</t>
        </is>
      </c>
      <c r="H21" s="4" t="inlineStr">
        <is>
          <t>LACUNA</t>
        </is>
      </c>
      <c r="I21" s="4" t="inlineStr">
        <is>
          <t>Alto</t>
        </is>
      </c>
      <c r="J21" s="4" t="inlineStr">
        <is>
          <t>Há pelo menos 5 conflitos entre os documentos (CR-05, TS-02, TS-03, DM-01, AV-02). Sem regra de precedência, o banco pode exigir a interpretação mais onerosa.</t>
        </is>
      </c>
      <c r="K21" s="4" t="inlineStr">
        <is>
          <t>Pedir cláusula de precedência. Na proposta, declarar a interpretação adotada para cada conflito.</t>
        </is>
      </c>
      <c r="L21" s="4" t="inlineStr">
        <is>
          <t>PE-01</t>
        </is>
      </c>
    </row>
    <row r="22">
      <c r="A22" s="4" t="inlineStr">
        <is>
          <t>RG-01</t>
        </is>
      </c>
      <c r="B22" s="4" t="inlineStr">
        <is>
          <t>Regulatório</t>
        </is>
      </c>
      <c r="C22" s="4" t="inlineStr">
        <is>
          <t>Resolução CMN nº 4.893/2021</t>
        </is>
      </c>
      <c r="D22" s="4" t="inlineStr">
        <is>
          <t>RFP 1.2</t>
        </is>
      </c>
      <c r="E22" s="4" t="inlineStr">
        <is>
          <t>QT-04 (obrigatório, peso 3); Anexo III; Anexo I 1.2</t>
        </is>
      </c>
      <c r="F22" s="4" t="inlineStr">
        <is>
          <t>O banco está sujeito à Res. CMN 4.893/2021 (política de segurança cibernética e contratação de processamento, armazenamento e nuvem).</t>
        </is>
      </c>
      <c r="G22" s="4" t="inlineStr">
        <is>
          <t>Conformidade exigida</t>
        </is>
      </c>
      <c r="H22" s="4" t="inlineStr">
        <is>
          <t>Relacionado ao conflito TS-02</t>
        </is>
      </c>
      <c r="I22" s="4" t="inlineStr">
        <is>
          <t>Alto</t>
        </is>
      </c>
      <c r="J22" s="4" t="inlineStr">
        <is>
          <t>A norma impõe requisitos contratuais à contratação de serviços relevantes de processamento e nuvem (acesso do BCB, continuidade, comunicação ao regulador etc.). QT-04 é obrigatório e tem o maior peso. Confirmar a redação vigente da norma, que pode ter sido alterada.</t>
        </is>
      </c>
      <c r="K22" s="4" t="inlineStr">
        <is>
          <t>Montar um anexo de conformidade com a Res. 4.893 (cláusulas exigidas, acesso do BCB, plano de continuidade, localização no Brasil) e conferir a versão vigente.</t>
        </is>
      </c>
      <c r="L22" s="4" t="inlineStr">
        <is>
          <t>PE-06</t>
        </is>
      </c>
    </row>
    <row r="23">
      <c r="A23" s="4" t="inlineStr">
        <is>
          <t>CR-06</t>
        </is>
      </c>
      <c r="B23" s="4" t="inlineStr">
        <is>
          <t>Cronograma</t>
        </is>
      </c>
      <c r="C23" s="4" t="inlineStr">
        <is>
          <t>Operação paralela sem custo</t>
        </is>
      </c>
      <c r="D23" s="4" t="inlineStr">
        <is>
          <t>Anexo I 4.2</t>
        </is>
      </c>
      <c r="E23" s="4" t="inlineStr">
        <is>
          <t>PPTX slide 3</t>
        </is>
      </c>
      <c r="F23" s="4" t="inlineStr">
        <is>
          <t>Durante a transição, operar em paralelo com o fornecedor atual, sem custo adicional para o Contratante.</t>
        </is>
      </c>
      <c r="G23" s="4" t="inlineStr">
        <is>
          <t>Paralelo sem custo adicional</t>
        </is>
      </c>
      <c r="H23" s="4" t="inlineStr">
        <is>
          <t>Ambiguidade (duração do paralelo)</t>
        </is>
      </c>
      <c r="I23" s="4" t="inlineStr">
        <is>
          <t>Médio</t>
        </is>
      </c>
      <c r="J23" s="4" t="inlineStr">
        <is>
          <t>O custo da operação paralela tem de ser diluído na mensalidade. A duração depende de CR-05 e fica limitada pelo fim do SIEM legado em 31/01/2027.</t>
        </is>
      </c>
      <c r="K23" s="4" t="inlineStr">
        <is>
          <t>Embutir o custo de transição e paralelo no preço, ou em uma linha de setup se o Anexo IV permitir. Limitar o paralelo ao prazo de transição.</t>
        </is>
      </c>
      <c r="L23" s="4" t="inlineStr">
        <is>
          <t>PE-04</t>
        </is>
      </c>
    </row>
    <row r="24">
      <c r="A24" s="4" t="inlineStr">
        <is>
          <t>CR-07</t>
        </is>
      </c>
      <c r="B24" s="4" t="inlineStr">
        <is>
          <t>Cronograma</t>
        </is>
      </c>
      <c r="C24" s="4" t="inlineStr">
        <is>
          <t>Documentação do ambiente pelo Contratante</t>
        </is>
      </c>
      <c r="D24" s="4" t="inlineStr">
        <is>
          <t>Anexo I 6.2</t>
        </is>
      </c>
      <c r="E24" s="4" t="inlineStr">
        <is>
          <t>Anexo I 6.1</t>
        </is>
      </c>
      <c r="F24" s="4" t="inlineStr">
        <is>
          <t>Contratante entrega a documentação técnica em até 10 dias após a assinatura e disponibiliza VPN (6.1).</t>
        </is>
      </c>
      <c r="G24" s="4" t="inlineStr">
        <is>
          <t>10 dias após a assinatura</t>
        </is>
      </c>
      <c r="H24" s="4" t="inlineStr">
        <is>
          <t>Ambiguidade (impacto no prazo de 30 dias)</t>
        </is>
      </c>
      <c r="I24" s="4" t="inlineStr">
        <is>
          <t>Médio</t>
        </is>
      </c>
      <c r="J24" s="4" t="inlineStr">
        <is>
          <t>Com transição de 30 dias, o banco pode consumir até 1/3 do prazo antes de entregar a documentação. Não há previsão de que atrasos do Contratante suspendam os prazos da Contratada.</t>
        </is>
      </c>
      <c r="K24" s="4" t="inlineStr">
        <is>
          <t>Incluir premissa: prazos de transição e SLAs ficam suspensos enquanto houver pendências do Contratante (documentação, VPN, acessos).</t>
        </is>
      </c>
      <c r="L24" s="4" t="inlineStr">
        <is>
          <t>PE-04</t>
        </is>
      </c>
    </row>
    <row r="25">
      <c r="A25" s="4" t="inlineStr">
        <is>
          <t>PR-04</t>
        </is>
      </c>
      <c r="B25" s="4" t="inlineStr">
        <is>
          <t>Proposta (forma)</t>
        </is>
      </c>
      <c r="C25" s="4" t="inlineStr">
        <is>
          <t>Anexo II</t>
        </is>
      </c>
      <c r="D25" s="4" t="inlineStr">
        <is>
          <t>RFP (numeração)</t>
        </is>
      </c>
      <c r="E25" s="4" t="inlineStr"/>
      <c r="F25" s="4" t="inlineStr">
        <is>
          <t>O RFP menciona Anexos I, III e IV. O Anexo II não é citado nem foi recebido.</t>
        </is>
      </c>
      <c r="G25" s="4" t="inlineStr">
        <is>
          <t>Anexo II desconhecido</t>
        </is>
      </c>
      <c r="H25" s="4" t="inlineStr">
        <is>
          <t>DOCUMENTO AUSENTE / lacuna</t>
        </is>
      </c>
      <c r="I25" s="4" t="inlineStr">
        <is>
          <t>Médio</t>
        </is>
      </c>
      <c r="J25" s="4" t="inlineStr">
        <is>
          <t>Pode ser a minuta de contrato ou um modelo de atestado. Se for a minuta, é essencial para o jurídico.</t>
        </is>
      </c>
      <c r="K25" s="4" t="inlineStr">
        <is>
          <t>Confirmar no portal se existe Anexo II (minuta contratual?) e pedir o envio.</t>
        </is>
      </c>
      <c r="L25" s="4" t="inlineStr">
        <is>
          <t>PE-05</t>
        </is>
      </c>
    </row>
    <row r="26">
      <c r="A26" s="4" t="inlineStr">
        <is>
          <t>TS-07</t>
        </is>
      </c>
      <c r="B26" s="4" t="inlineStr">
        <is>
          <t>Escopo SOC</t>
        </is>
      </c>
      <c r="C26" s="4" t="inlineStr">
        <is>
          <t>Meta de falsos positivos</t>
        </is>
      </c>
      <c r="D26" s="4" t="inlineStr">
        <is>
          <t>PPTX slide 4</t>
        </is>
      </c>
      <c r="E26" s="4" t="inlineStr">
        <is>
          <t>Anexo I 2</t>
        </is>
      </c>
      <c r="F26" s="4" t="inlineStr">
        <is>
          <t>Hoje são cerca de 1.200 alertas/dia e 70% de falsos positivos. Meta: 10% de falsos positivos no primeiro trimestre de operação.</t>
        </is>
      </c>
      <c r="G26" s="4" t="inlineStr">
        <is>
          <t>Não é SLA contratual (não consta no Anexo I 2)</t>
        </is>
      </c>
      <c r="H26" s="4" t="inlineStr">
        <is>
          <t>Expectativa x SLA</t>
        </is>
      </c>
      <c r="I26" s="4" t="inlineStr">
        <is>
          <t>Médio</t>
        </is>
      </c>
      <c r="J26" s="4" t="inlineStr">
        <is>
          <t>Sair de 70% para 10% em 3 meses é agressivo, depende do tuning e da cooperação do banco e pode virar critério de aceite informal. Se for incluída como SLA, incide multa de 10% (CT-04).</t>
        </is>
      </c>
      <c r="K26" s="4" t="inlineStr">
        <is>
          <t>Apresentar a redução de falsos positivos como plano de tuning progressivo, sem compromisso contratual de 10% no primeiro trimestre. Pedir confirmação de que não é SLA.</t>
        </is>
      </c>
      <c r="L26" s="4" t="inlineStr">
        <is>
          <t>PE-02</t>
        </is>
      </c>
    </row>
    <row r="27">
      <c r="A27" s="4" t="inlineStr">
        <is>
          <t>TS-10</t>
        </is>
      </c>
      <c r="B27" s="4" t="inlineStr">
        <is>
          <t>Escopo SOC</t>
        </is>
      </c>
      <c r="C27" s="4" t="inlineStr">
        <is>
          <t>Threat intelligence</t>
        </is>
      </c>
      <c r="D27" s="4" t="inlineStr">
        <is>
          <t>QT-05 (não obrigatório, peso 2)</t>
        </is>
      </c>
      <c r="E27" s="4" t="inlineStr">
        <is>
          <t>Aba Pesos</t>
        </is>
      </c>
      <c r="F27" s="4" t="inlineStr">
        <is>
          <t>Serviço de threat intelligence.</t>
        </is>
      </c>
      <c r="G27" s="4" t="inlineStr">
        <is>
          <t>Oferecer: 'Não atende' = -2 pts</t>
        </is>
      </c>
      <c r="H27" s="4" t="inlineStr">
        <is>
          <t>Ver AV-05</t>
        </is>
      </c>
      <c r="I27" s="4" t="inlineStr">
        <is>
          <t>Médio</t>
        </is>
      </c>
      <c r="J27" s="4" t="inlineStr">
        <is>
          <t>Não consta no Anexo I. Feeds de threat intel podem processar dados fora do Brasil, o que conflita com o Anexo III.</t>
        </is>
      </c>
      <c r="K27" s="4" t="inlineStr">
        <is>
          <t>Incluir threat intel (feeds e boletins) com garantia de que os dados do banco não saem do país.</t>
        </is>
      </c>
      <c r="L27" s="4" t="inlineStr">
        <is>
          <t>PE-08</t>
        </is>
      </c>
    </row>
    <row r="28">
      <c r="A28" s="4" t="inlineStr">
        <is>
          <t>SL-02</t>
        </is>
      </c>
      <c r="B28" s="4" t="inlineStr">
        <is>
          <t>SLA</t>
        </is>
      </c>
      <c r="C28" s="4" t="inlineStr">
        <is>
          <t>Disponibilidade do SIEM</t>
        </is>
      </c>
      <c r="D28" s="4" t="inlineStr">
        <is>
          <t>Anexo I 2.2</t>
        </is>
      </c>
      <c r="E28" s="4" t="inlineStr">
        <is>
          <t>RFP 7.4</t>
        </is>
      </c>
      <c r="F28" s="4" t="inlineStr">
        <is>
          <t>Disponibilidade mínima mensal de 99,9% da plataforma SIEM.</t>
        </is>
      </c>
      <c r="G28" s="4" t="inlineStr">
        <is>
          <t>99,9% mensal (~43 min/mês)</t>
        </is>
      </c>
      <c r="H28" s="4" t="inlineStr">
        <is>
          <t>—</t>
        </is>
      </c>
      <c r="I28" s="4" t="inlineStr">
        <is>
          <t>Médio</t>
        </is>
      </c>
      <c r="J28" s="4" t="inlineStr">
        <is>
          <t>Depende do SLA do provedor de nuvem e do fabricante. Não define janelas de manutenção nem exclusões.</t>
        </is>
      </c>
      <c r="K28" s="4" t="inlineStr">
        <is>
          <t>Prever exclusões (manutenção programada, força maior, falhas do Contratante) e alinhar com o SLA do hyperscaler.</t>
        </is>
      </c>
      <c r="L28" s="4" t="inlineStr">
        <is>
          <t>PE-12</t>
        </is>
      </c>
    </row>
    <row r="29">
      <c r="A29" s="4" t="inlineStr">
        <is>
          <t>EQ-01</t>
        </is>
      </c>
      <c r="B29" s="4" t="inlineStr">
        <is>
          <t>Equipe</t>
        </is>
      </c>
      <c r="C29" s="4" t="inlineStr">
        <is>
          <t>Coordenador CISSP dedicado</t>
        </is>
      </c>
      <c r="D29" s="4" t="inlineStr">
        <is>
          <t>Anexo I 5.1</t>
        </is>
      </c>
      <c r="E29" s="4" t="inlineStr">
        <is>
          <t>RFP 5.2</t>
        </is>
      </c>
      <c r="F29" s="4" t="inlineStr">
        <is>
          <t>Coordenador com certificação CISSP, dedicado exclusivamente ao contrato.</t>
        </is>
      </c>
      <c r="G29" s="4" t="inlineStr">
        <is>
          <t>1 FTE CISSP exclusivo</t>
        </is>
      </c>
      <c r="H29" s="4" t="inlineStr">
        <is>
          <t>—</t>
        </is>
      </c>
      <c r="I29" s="4" t="inlineStr">
        <is>
          <t>Médio</t>
        </is>
      </c>
      <c r="J29" s="4" t="inlineStr">
        <is>
          <t>Custo fixo relevante. Exigirá substituição equivalente em férias ou desligamento.</t>
        </is>
      </c>
      <c r="K29" s="4" t="inlineStr">
        <is>
          <t>Precificar 1 FTE sênior exclusivo e definir regra de substituto.</t>
        </is>
      </c>
      <c r="L29" s="4" t="inlineStr">
        <is>
          <t>—</t>
        </is>
      </c>
    </row>
    <row r="30">
      <c r="A30" s="4" t="inlineStr">
        <is>
          <t>CT-03</t>
        </is>
      </c>
      <c r="B30" s="4" t="inlineStr">
        <is>
          <t>Contratual</t>
        </is>
      </c>
      <c r="C30" s="4" t="inlineStr">
        <is>
          <t>Prazo de pagamento</t>
        </is>
      </c>
      <c r="D30" s="4" t="inlineStr">
        <is>
          <t>RFP 7.3</t>
        </is>
      </c>
      <c r="E30" s="4" t="inlineStr"/>
      <c r="F30" s="4" t="inlineStr">
        <is>
          <t>Pagamento em até 60 dias após o aceite da nota fiscal.</t>
        </is>
      </c>
      <c r="G30" s="4" t="inlineStr">
        <is>
          <t>60 dias após aceite</t>
        </is>
      </c>
      <c r="H30" s="4" t="inlineStr">
        <is>
          <t>Ambiguidade (critério de aceite)</t>
        </is>
      </c>
      <c r="I30" s="4" t="inlineStr">
        <is>
          <t>Médio</t>
        </is>
      </c>
      <c r="J30" s="4" t="inlineStr">
        <is>
          <t>Prazo longo, com custo financeiro. O prazo e o critério do aceite não estão definidos, então o ciclo real pode passar de 90 dias.</t>
        </is>
      </c>
      <c r="K30" s="4" t="inlineStr">
        <is>
          <t>Incluir o custo financeiro no preço. Propor aceite tácito em X dias.</t>
        </is>
      </c>
      <c r="L30" s="4" t="inlineStr">
        <is>
          <t>PE-16</t>
        </is>
      </c>
    </row>
    <row r="31">
      <c r="A31" s="4" t="inlineStr">
        <is>
          <t>CT-06</t>
        </is>
      </c>
      <c r="B31" s="4" t="inlineStr">
        <is>
          <t>Contratual</t>
        </is>
      </c>
      <c r="C31" s="4" t="inlineStr">
        <is>
          <t>Seguro cyber</t>
        </is>
      </c>
      <c r="D31" s="4" t="inlineStr">
        <is>
          <t>RFP 7.6</t>
        </is>
      </c>
      <c r="E31" s="4" t="inlineStr">
        <is>
          <t>RFP 7.5</t>
        </is>
      </c>
      <c r="F31" s="4" t="inlineStr">
        <is>
          <t>Manter seguro de responsabilidade civil cibernética 'em valor compatível com os riscos do contrato'.</t>
        </is>
      </c>
      <c r="G31" s="4" t="inlineStr">
        <is>
          <t>Valor indefinido</t>
        </is>
      </c>
      <c r="H31" s="4" t="inlineStr">
        <is>
          <t>Ambiguidade</t>
        </is>
      </c>
      <c r="I31" s="4" t="inlineStr">
        <is>
          <t>Médio</t>
        </is>
      </c>
      <c r="J31" s="4" t="inlineStr">
        <is>
          <t>'Compatível' é subjetivo e, junto com 7.5 (ilimitado), não tem referência.</t>
        </is>
      </c>
      <c r="K31" s="4" t="inlineStr">
        <is>
          <t>Pedir o valor mínimo da apólice. Cotar o prêmio com a corretora.</t>
        </is>
      </c>
      <c r="L31" s="4" t="inlineStr">
        <is>
          <t>PE-16</t>
        </is>
      </c>
    </row>
    <row r="32">
      <c r="A32" s="4" t="inlineStr">
        <is>
          <t>CT-10</t>
        </is>
      </c>
      <c r="B32" s="4" t="inlineStr">
        <is>
          <t>Contratual</t>
        </is>
      </c>
      <c r="C32" s="4" t="inlineStr">
        <is>
          <t>Minuta de contrato / LGPD</t>
        </is>
      </c>
      <c r="D32" s="4" t="inlineStr">
        <is>
          <t>RFP (omissão)</t>
        </is>
      </c>
      <c r="E32" s="4" t="inlineStr"/>
      <c r="F32" s="4" t="inlineStr">
        <is>
          <t>Não foi recebida minuta de contrato, nem cláusula de proteção de dados pessoais (LGPD, papel de operador), de propriedade dos logs ou de devolução de dados no fim do contrato.</t>
        </is>
      </c>
      <c r="G32" s="4" t="inlineStr">
        <is>
          <t>Não tratado</t>
        </is>
      </c>
      <c r="H32" s="4" t="inlineStr">
        <is>
          <t>LACUNA</t>
        </is>
      </c>
      <c r="I32" s="4" t="inlineStr">
        <is>
          <t>Médio</t>
        </is>
      </c>
      <c r="J32" s="4" t="inlineStr">
        <is>
          <t>O SOC e o IAM tratam dados pessoais de colaboradores. Faltam regras de devolução e eliminação dos logs no fim do contrato, o que se liga à retenção de 5 anos.</t>
        </is>
      </c>
      <c r="K32" s="4" t="inlineStr">
        <is>
          <t>Pedir a minuta contratual (talvez seja o Anexo II) e as cláusulas de proteção de dados.</t>
        </is>
      </c>
      <c r="L32" s="4" t="inlineStr">
        <is>
          <t>PE-05</t>
        </is>
      </c>
    </row>
    <row r="33">
      <c r="A33" s="4" t="inlineStr">
        <is>
          <t>SL-03</t>
        </is>
      </c>
      <c r="B33" s="4" t="inlineStr">
        <is>
          <t>SLA</t>
        </is>
      </c>
      <c r="C33" s="4" t="inlineStr">
        <is>
          <t>Relatório mensal</t>
        </is>
      </c>
      <c r="D33" s="4" t="inlineStr">
        <is>
          <t>Anexo I 2.3</t>
        </is>
      </c>
      <c r="E33" s="4" t="inlineStr">
        <is>
          <t>RFP 7.4</t>
        </is>
      </c>
      <c r="F33" s="4" t="inlineStr">
        <is>
          <t>Relatório mensal de indicadores até o 5º dia útil do mês seguinte.</t>
        </is>
      </c>
      <c r="G33" s="4" t="inlineStr">
        <is>
          <t>5º dia útil</t>
        </is>
      </c>
      <c r="H33" s="4" t="inlineStr">
        <is>
          <t>—</t>
        </is>
      </c>
      <c r="I33" s="4" t="inlineStr">
        <is>
          <t>Baixo</t>
        </is>
      </c>
      <c r="J33" s="4" t="inlineStr">
        <is>
          <t>Um atraso, mesmo pequeno, gera multa de 10% (CT-04), uma penalidade desproporcional.</t>
        </is>
      </c>
      <c r="K33" s="4" t="inlineStr">
        <is>
          <t>Automatizar o relatório. Pedir multas graduadas por tipo de SLA.</t>
        </is>
      </c>
      <c r="L33" s="4" t="inlineStr">
        <is>
          <t>PE-12</t>
        </is>
      </c>
    </row>
    <row r="34">
      <c r="A34" s="4" t="inlineStr">
        <is>
          <t>CT-01</t>
        </is>
      </c>
      <c r="B34" s="4" t="inlineStr">
        <is>
          <t>Contratual</t>
        </is>
      </c>
      <c r="C34" s="4" t="inlineStr">
        <is>
          <t>Vigência</t>
        </is>
      </c>
      <c r="D34" s="4" t="inlineStr">
        <is>
          <t>RFP 7.1</t>
        </is>
      </c>
      <c r="E34" s="4" t="inlineStr"/>
      <c r="F34" s="4" t="inlineStr">
        <is>
          <t>36 meses, prorrogável por iguais períodos mediante acordo.</t>
        </is>
      </c>
      <c r="G34" s="4" t="inlineStr">
        <is>
          <t>36 meses</t>
        </is>
      </c>
      <c r="H34" s="4" t="inlineStr">
        <is>
          <t>—</t>
        </is>
      </c>
      <c r="I34" s="4" t="inlineStr">
        <is>
          <t>Baixo</t>
        </is>
      </c>
      <c r="J34" s="4" t="inlineStr">
        <is>
          <t>Base para amortizar setup e transição.</t>
        </is>
      </c>
      <c r="K34" s="4" t="inlineStr">
        <is>
          <t>Amortizar setup em 36 meses e prever multa rescisória por término antecipado.</t>
        </is>
      </c>
      <c r="L34" s="4" t="inlineStr">
        <is>
          <t>—</t>
        </is>
      </c>
    </row>
    <row r="35">
      <c r="A35" s="4" t="inlineStr">
        <is>
          <t>CT-08</t>
        </is>
      </c>
      <c r="B35" s="4" t="inlineStr">
        <is>
          <t>Contratual</t>
        </is>
      </c>
      <c r="C35" s="4" t="inlineStr">
        <is>
          <t>Confidencialidade</t>
        </is>
      </c>
      <c r="D35" s="4" t="inlineStr">
        <is>
          <t>RFP 7.8</t>
        </is>
      </c>
      <c r="E35" s="4" t="inlineStr"/>
      <c r="F35" s="4" t="inlineStr">
        <is>
          <t>Confidencialidade por 5 anos após o término do contrato.</t>
        </is>
      </c>
      <c r="G35" s="4" t="inlineStr">
        <is>
          <t>5 anos pós-término</t>
        </is>
      </c>
      <c r="H35" s="4" t="inlineStr">
        <is>
          <t>—</t>
        </is>
      </c>
      <c r="I35" s="4" t="inlineStr">
        <is>
          <t>Baixo</t>
        </is>
      </c>
      <c r="J35" s="4" t="inlineStr">
        <is>
          <t>Prazo usual.</t>
        </is>
      </c>
      <c r="K35" s="4" t="inlineStr">
        <is>
          <t>Verificar compatibilidade com a retenção de logs de 5 anos (TS-03).</t>
        </is>
      </c>
      <c r="L35" s="4" t="inlineStr">
        <is>
          <t>—</t>
        </is>
      </c>
    </row>
  </sheetData>
  <conditionalFormatting sqref="I2:I35">
    <cfRule type="expression" priority="1" dxfId="0">
      <formula>I2="Alto"</formula>
    </cfRule>
    <cfRule type="expression" priority="2" dxfId="1">
      <formula>I2="Médio"</formula>
    </cfRule>
    <cfRule type="expression" priority="3" dxfId="2">
      <formula>I2="Baixo"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0" customWidth="1" min="4" max="4"/>
    <col width="24" customWidth="1" min="5" max="5"/>
    <col width="55" customWidth="1" min="6" max="6"/>
    <col width="32" customWidth="1" min="7" max="7"/>
    <col width="26" customWidth="1" min="8" max="8"/>
    <col width="9" customWidth="1" min="9" max="9"/>
    <col width="60" customWidth="1" min="10" max="10"/>
    <col width="60" customWidth="1" min="11" max="11"/>
    <col width="10" customWidth="1" min="12" max="12"/>
  </cols>
  <sheetData>
    <row r="1">
      <c r="A1" s="3" t="inlineStr">
        <is>
          <t>ID</t>
        </is>
      </c>
      <c r="B1" s="3" t="inlineStr">
        <is>
          <t>Categoria</t>
        </is>
      </c>
      <c r="C1" s="3" t="inlineStr">
        <is>
          <t>Tema</t>
        </is>
      </c>
      <c r="D1" s="3" t="inlineStr">
        <is>
          <t>Fonte principal</t>
        </is>
      </c>
      <c r="E1" s="3" t="inlineStr">
        <is>
          <t>Outras fontes</t>
        </is>
      </c>
      <c r="F1" s="3" t="inlineStr">
        <is>
          <t>Requisito / conteúdo (resumo)</t>
        </is>
      </c>
      <c r="G1" s="3" t="inlineStr">
        <is>
          <t>Posição vigente (após Q&amp;A)</t>
        </is>
      </c>
      <c r="H1" s="3" t="inlineStr">
        <is>
          <t>Conflito / ambiguidade</t>
        </is>
      </c>
      <c r="I1" s="3" t="inlineStr">
        <is>
          <t>Risco</t>
        </is>
      </c>
      <c r="J1" s="3" t="inlineStr">
        <is>
          <t>Análise</t>
        </is>
      </c>
      <c r="K1" s="3" t="inlineStr">
        <is>
          <t>Ação recomendada</t>
        </is>
      </c>
      <c r="L1" s="3" t="inlineStr">
        <is>
          <t>Pergunta (ref.)</t>
        </is>
      </c>
    </row>
    <row r="2">
      <c r="A2" s="4" t="inlineStr">
        <is>
          <t>CR-04</t>
        </is>
      </c>
      <c r="B2" s="4" t="inlineStr">
        <is>
          <t>Cronograma</t>
        </is>
      </c>
      <c r="C2" s="4" t="inlineStr">
        <is>
          <t>Início dos serviços x fim do SIEM legado</t>
        </is>
      </c>
      <c r="D2" s="4" t="inlineStr">
        <is>
          <t>RFP 3.1</t>
        </is>
      </c>
      <c r="E2" s="4" t="inlineStr">
        <is>
          <t>PPTX slide 3</t>
        </is>
      </c>
      <c r="F2" s="4" t="inlineStr">
        <is>
          <t>Início previsto em 01/02/2027. O contrato do SIEM legado termina em 31/01/2027, sem possibilidade de prorrogação.</t>
        </is>
      </c>
      <c r="G2" s="4" t="inlineStr">
        <is>
          <t>01/02/2027 (go-live sem folga)</t>
        </is>
      </c>
      <c r="H2" s="4" t="inlineStr">
        <is>
          <t>Sem margem de contingência</t>
        </is>
      </c>
      <c r="I2" s="4" t="inlineStr">
        <is>
          <t>Alto</t>
        </is>
      </c>
      <c r="J2" s="4" t="inlineStr">
        <is>
          <t>Não há folga: se o novo SIEM não estiver operando em 01/02/2027, o banco fica sem monitoramento. A migração de 24 meses de logs (TS-06) também precisa acontecer antes de 31/01/2027, enquanto o legado ainda existe. A data de assinatura do contrato não foi informada.</t>
        </is>
      </c>
      <c r="K2" s="4" t="inlineStr">
        <is>
          <t>Pedir a data prevista de assinatura. Condicionar os prazos de transição à assinatura e ao cumprimento das obrigações do Contratante. Prever plano de contingência.</t>
        </is>
      </c>
      <c r="L2" s="4" t="inlineStr">
        <is>
          <t>PE-03</t>
        </is>
      </c>
    </row>
    <row r="3">
      <c r="A3" s="4" t="inlineStr">
        <is>
          <t>CR-05</t>
        </is>
      </c>
      <c r="B3" s="4" t="inlineStr">
        <is>
          <t>Cronograma</t>
        </is>
      </c>
      <c r="C3" s="4" t="inlineStr">
        <is>
          <t>Prazo de transição</t>
        </is>
      </c>
      <c r="D3" s="4" t="inlineStr">
        <is>
          <t>RFP 3.2</t>
        </is>
      </c>
      <c r="E3" s="4" t="inlineStr">
        <is>
          <t>Anexo I 4.1</t>
        </is>
      </c>
      <c r="F3" s="4" t="inlineStr">
        <is>
          <t>RFP 3.2: transição concluída em até 30 dias corridos da assinatura. Anexo I 4.1: até 60 dias corridos da assinatura.</t>
        </is>
      </c>
      <c r="G3" s="4" t="inlineStr">
        <is>
          <t>INDEFINIDO: 30 x 60 dias (adotar 30 dias como pior caso)</t>
        </is>
      </c>
      <c r="H3" s="4" t="inlineStr">
        <is>
          <t>CONFLITO RFP x Anexo I</t>
        </is>
      </c>
      <c r="I3" s="4" t="inlineStr">
        <is>
          <t>Alto</t>
        </is>
      </c>
      <c r="J3" s="4" t="inlineStr">
        <is>
          <t>Os dois documentos divergem e o Q&amp;A não tratou do tema. O plano de transição vale 10 pontos (6.2). Com 30 dias, a equipe de onboarding fica mais concentrada e mais cara. Somado à multa de 10% por SLA (CT-04), o atraso na transição é um risco relevante.</t>
        </is>
      </c>
      <c r="K3" s="4" t="inlineStr">
        <is>
          <t>Pedir esclarecimento. Precificar e planejar para 30 dias, com a premissa de que a contagem só corre após a entrega da documentação (CR-07) e dos acessos (VPN).</t>
        </is>
      </c>
      <c r="L3" s="4" t="inlineStr">
        <is>
          <t>PE-04</t>
        </is>
      </c>
    </row>
    <row r="4">
      <c r="A4" s="4" t="inlineStr">
        <is>
          <t>PR-03</t>
        </is>
      </c>
      <c r="B4" s="4" t="inlineStr">
        <is>
          <t>Proposta (forma)</t>
        </is>
      </c>
      <c r="C4" s="4" t="inlineStr">
        <is>
          <t>Planilha de preços (Anexo IV)</t>
        </is>
      </c>
      <c r="D4" s="4" t="inlineStr">
        <is>
          <t>RFP 4.3</t>
        </is>
      </c>
      <c r="E4" s="4" t="inlineStr"/>
      <c r="F4" s="4" t="inlineStr">
        <is>
          <t>Proposta comercial conforme a planilha modelo do Anexo IV — Planilha de Preços.</t>
        </is>
      </c>
      <c r="G4" s="4" t="inlineStr">
        <is>
          <t>Anexo IV NÃO RECEBIDO</t>
        </is>
      </c>
      <c r="H4" s="4" t="inlineStr">
        <is>
          <t>DOCUMENTO AUSENTE</t>
        </is>
      </c>
      <c r="I4" s="4" t="inlineStr">
        <is>
          <t>Alto</t>
        </is>
      </c>
      <c r="J4" s="4" t="inlineStr">
        <is>
          <t>O Anexo IV não está entre os arquivos recebidos. Sem ele não se sabe a estrutura de preço (por usuário, por EPS, fixo mensal, setup), o que impede o pricing final.</t>
        </is>
      </c>
      <c r="K4" s="4" t="inlineStr">
        <is>
          <t>Baixar o Anexo IV no portal. Se não existir, pedir via Q&amp;A.</t>
        </is>
      </c>
      <c r="L4" s="4" t="inlineStr">
        <is>
          <t>PE-05</t>
        </is>
      </c>
    </row>
    <row r="5">
      <c r="A5" s="4" t="inlineStr">
        <is>
          <t>PR-06</t>
        </is>
      </c>
      <c r="B5" s="4" t="inlineStr">
        <is>
          <t>Proposta (forma)</t>
        </is>
      </c>
      <c r="C5" s="4" t="inlineStr">
        <is>
          <t>Declaração de localização de dados (Anexo III)</t>
        </is>
      </c>
      <c r="D5" s="4" t="inlineStr">
        <is>
          <t>RFP p.6 (Anexo III, escaneado)</t>
        </is>
      </c>
      <c r="E5" s="4" t="inlineStr">
        <is>
          <t>RFP 5.1c; Q&amp;A #2</t>
        </is>
      </c>
      <c r="F5" s="4" t="inlineStr">
        <is>
          <t>Declaração assinada pelo representante legal: todos os dados do Banco, inclusive logs de segurança, serão armazenados e processados exclusivamente em território nacional durante toda a vigência. Deve ser entregue com a proposta, sob pena de inabilitação.</t>
        </is>
      </c>
      <c r="G5" s="4" t="inlineStr">
        <is>
          <t>Obrigatória: dados e logs só no Brasil</t>
        </is>
      </c>
      <c r="H5" s="4" t="inlineStr">
        <is>
          <t>CONFLITO com Anexo I 1.2 (nuvem em região livre)</t>
        </is>
      </c>
      <c r="I5" s="4" t="inlineStr">
        <is>
          <t>Alto</t>
        </is>
      </c>
      <c r="J5" s="4" t="inlineStr">
        <is>
          <t>A declaração vincula toda a cadeia: SIEM em nuvem, backups, DR, threat intel e suporte do fabricante com acesso a dados. Assinar exige garantir que nenhum componente (inclusive telemetria do fabricante do SIEM) processe dados fora do Brasil. A página é imagem, sem texto extraível.</t>
        </is>
      </c>
      <c r="K5" s="4" t="inlineStr">
        <is>
          <t>Validar a arquitetura antes da assinatura: região Brasil do hyperscaler, DR no Brasil e suporte do fabricante sem acesso a dados fora do país. Colher a assinatura do representante legal com procuração válida.</t>
        </is>
      </c>
      <c r="L5" s="4" t="inlineStr">
        <is>
          <t>PE-06</t>
        </is>
      </c>
    </row>
    <row r="6">
      <c r="A6" s="4" t="inlineStr">
        <is>
          <t>HB-03</t>
        </is>
      </c>
      <c r="B6" s="4" t="inlineStr">
        <is>
          <t>Habilitação</t>
        </is>
      </c>
      <c r="C6" s="4" t="inlineStr">
        <is>
          <t>SOC em território nacional</t>
        </is>
      </c>
      <c r="D6" s="4" t="inlineStr">
        <is>
          <t>RFP 5.1c</t>
        </is>
      </c>
      <c r="E6" s="4" t="inlineStr">
        <is>
          <t>Q&amp;A #2; Anexo III</t>
        </is>
      </c>
      <c r="F6" s="4" t="inlineStr">
        <is>
          <t>Comprovar que o SOC está localizado em território nacional. Q&amp;A #2: não é permitido operar o SOC a partir de outro país.</t>
        </is>
      </c>
      <c r="G6" s="4" t="inlineStr">
        <is>
          <t>SOC no Brasil (confirmado no Q&amp;A #2)</t>
        </is>
      </c>
      <c r="H6" s="4" t="inlineStr">
        <is>
          <t>Confirmado pelo Q&amp;A</t>
        </is>
      </c>
      <c r="I6" s="4" t="inlineStr">
        <is>
          <t>Alto</t>
        </is>
      </c>
      <c r="J6" s="4" t="inlineStr">
        <is>
          <t>Exclui follow-the-sun com centros no exterior. O RFP não define o meio de comprovação.</t>
        </is>
      </c>
      <c r="K6" s="4" t="inlineStr">
        <is>
          <t>Preparar a comprovação (endereço, contrato de locação, fotos, certificação do site).</t>
        </is>
      </c>
      <c r="L6" s="4" t="inlineStr">
        <is>
          <t>—</t>
        </is>
      </c>
    </row>
    <row r="7">
      <c r="A7" s="4" t="inlineStr">
        <is>
          <t>AV-05</t>
        </is>
      </c>
      <c r="B7" s="4" t="inlineStr">
        <is>
          <t>Avaliação</t>
        </is>
      </c>
      <c r="C7" s="4" t="inlineStr">
        <is>
          <t>Pesos e penalidade ocultos no questionário</t>
        </is>
      </c>
      <c r="D7" s="4" t="inlineStr">
        <is>
          <t>XLSX aba 'Pesos' (OCULTA)</t>
        </is>
      </c>
      <c r="E7" s="4" t="inlineStr">
        <is>
          <t>Questionário QT-01 a QT-06</t>
        </is>
      </c>
      <c r="F7" s="4" t="inlineStr">
        <is>
          <t>Aba oculta com pesos (QT-01=3, QT-02=1, QT-03=2, QT-04=3, QT-05=2, QT-06=2) e a regra: 'requisitos não obrigatórios respondidos como Não atende reduzem a Nota Técnica em 2 pontos cada'.</t>
        </is>
      </c>
      <c r="G7" s="4" t="inlineStr">
        <is>
          <t>QT-02 (SOAR) e QT-05 (Threat Intel) = -2 pts cada se 'Não atende'</t>
        </is>
      </c>
      <c r="H7" s="4" t="inlineStr">
        <is>
          <t>CRITÉRIO OCULTO / não previsto no RFP</t>
        </is>
      </c>
      <c r="I7" s="4" t="inlineStr">
        <is>
          <t>Alto</t>
        </is>
      </c>
      <c r="J7" s="4" t="inlineStr">
        <is>
          <t>O critério não aparece nos itens 6.1 a 6.3. Requisitos 'não obrigatórios' acabam pontuando: deixar de oferecer SOAR ou threat intel custa até 4 pontos. A regra não diz o que acontece com 'Parcial'. Os pesos não têm uso explicado.</t>
        </is>
      </c>
      <c r="K7" s="4" t="inlineStr">
        <is>
          <t>Oferecer SOAR e threat intelligence (ao menos como 'Atende' com escopo básico, ou 'Parcial' bem justificado). Jurídico: avaliar se cabe questionar a transparência do critério. Pedir confirmação via Q&amp;A.</t>
        </is>
      </c>
      <c r="L7" s="4" t="inlineStr">
        <is>
          <t>PE-08</t>
        </is>
      </c>
    </row>
    <row r="8">
      <c r="A8" s="4" t="inlineStr">
        <is>
          <t>TS-02</t>
        </is>
      </c>
      <c r="B8" s="4" t="inlineStr">
        <is>
          <t>Escopo SOC</t>
        </is>
      </c>
      <c r="C8" s="4" t="inlineStr">
        <is>
          <t>SIEM fornecido pelo proponente / localização</t>
        </is>
      </c>
      <c r="D8" s="4" t="inlineStr">
        <is>
          <t>Anexo I 1.2</t>
        </is>
      </c>
      <c r="E8" s="4" t="inlineStr">
        <is>
          <t>Anexo III; RFP 1.2 (Res. CMN 4.893); QT-04</t>
        </is>
      </c>
      <c r="F8" s="4" t="inlineStr">
        <is>
          <t>O proponente fornece o SIEM, 'podendo ser disponibilizado em nuvem pública, em região de livre escolha do proponente'.</t>
        </is>
      </c>
      <c r="G8" s="4" t="inlineStr">
        <is>
          <t>SIEM do proponente, OBRIGATORIAMENTE em região no Brasil</t>
        </is>
      </c>
      <c r="H8" s="4" t="inlineStr">
        <is>
          <t>CONFLITO Anexo I 1.2 x Anexo III</t>
        </is>
      </c>
      <c r="I8" s="4" t="inlineStr">
        <is>
          <t>Alto</t>
        </is>
      </c>
      <c r="J8" s="4" t="inlineStr">
        <is>
          <t>A 'região de livre escolha' contradiz a declaração do Anexo III (dados e logs só no Brasil, sob pena de inabilitação). Prevalece a regra mais restritiva e eliminatória. Regiões no Brasil costumam custar mais, e alguns SIEM SaaS não têm instância no país.</t>
        </is>
      </c>
      <c r="K8" s="4" t="inlineStr">
        <is>
          <t>Arquitetar e precificar o SIEM 100% no Brasil (inclusive DR e backup). Responder QT-04 de forma coerente. Pedir confirmação via Q&amp;A.</t>
        </is>
      </c>
      <c r="L8" s="4" t="inlineStr">
        <is>
          <t>PE-06</t>
        </is>
      </c>
    </row>
    <row r="9">
      <c r="A9" s="4" t="inlineStr">
        <is>
          <t>TS-03</t>
        </is>
      </c>
      <c r="B9" s="4" t="inlineStr">
        <is>
          <t>Escopo SOC</t>
        </is>
      </c>
      <c r="C9" s="4" t="inlineStr">
        <is>
          <t>Retenção de logs</t>
        </is>
      </c>
      <c r="D9" s="4" t="inlineStr">
        <is>
          <t>Anexo I 1.3</t>
        </is>
      </c>
      <c r="E9" s="4" t="inlineStr">
        <is>
          <t>Anexo I 1.6; QT-03</t>
        </is>
      </c>
      <c r="F9" s="4" t="inlineStr">
        <is>
          <t>1.3: logs retidos por no mínimo 12 meses. 1.6: para auditoria, logs mantidos por 5 anos. QT-03: 'retém os logs online por no mínimo 12 meses?'.</t>
        </is>
      </c>
      <c r="G9" s="4" t="inlineStr">
        <is>
          <t>Premissa: 12 meses online + 5 anos em arquivo (cold storage)</t>
        </is>
      </c>
      <c r="H9" s="4" t="inlineStr">
        <is>
          <t>CONFLITO interno do Anexo I (12 meses x 5 anos)</t>
        </is>
      </c>
      <c r="I9" s="4" t="inlineStr">
        <is>
          <t>Alto</t>
        </is>
      </c>
      <c r="J9" s="4" t="inlineStr">
        <is>
          <t>A leitura mais coerente com o QT-03 é 12 meses de retenção online (pesquisável) e 5 anos de arquivo. Não está definido: tempo de recuperação do arquivo, quem guarda os logs após o fim do contrato, se há devolução ao final e se os 5 anos correm durante ou após a vigência. O volume é desconhecido (EPS não informado: TS-04).</t>
        </is>
      </c>
      <c r="K9" s="4" t="inlineStr">
        <is>
          <t>Precificar armazenamento em camadas (hot 12 meses, cold 5 anos) com preço unitário por GB/TB excedente. Definir a devolução dos logs ao fim do contrato.</t>
        </is>
      </c>
      <c r="L9" s="4" t="inlineStr">
        <is>
          <t>PE-09</t>
        </is>
      </c>
    </row>
    <row r="10">
      <c r="A10" s="4" t="inlineStr">
        <is>
          <t>TS-04</t>
        </is>
      </c>
      <c r="B10" s="4" t="inlineStr">
        <is>
          <t>Escopo SOC</t>
        </is>
      </c>
      <c r="C10" s="4" t="inlineStr">
        <is>
          <t>Integração do SIEM com 'todos os ativos relevantes' / volumetria</t>
        </is>
      </c>
      <c r="D10" s="4" t="inlineStr">
        <is>
          <t>Anexo I 1.4</t>
        </is>
      </c>
      <c r="E10" s="4" t="inlineStr">
        <is>
          <t>Q&amp;A #3; PPTX slide 2</t>
        </is>
      </c>
      <c r="F10" s="4" t="inlineStr">
        <is>
          <t>SIEM integrado a todos os ativos relevantes. Q&amp;A #3: a volumetria (EPS) será informada somente ao vencedor. PPTX: 850 servidores (70% Windows, 30% Linux), 2 data centers (SP e Campinas) e 2 nuvens públicas.</t>
        </is>
      </c>
      <c r="G10" s="4" t="inlineStr">
        <is>
          <t>Escopo aberto; EPS desconhecido</t>
        </is>
      </c>
      <c r="H10" s="4" t="inlineStr">
        <is>
          <t>Ambiguidade crítica (escopo e volumetria)</t>
        </is>
      </c>
      <c r="I10" s="4" t="inlineStr">
        <is>
          <t>Alto</t>
        </is>
      </c>
      <c r="J10" s="4" t="inlineStr">
        <is>
          <t>Licenças de SIEM e armazenamento costumam ser cobrados por EPS ou GB/dia. Sem a volumetria, o preço fixo carrega um risco ilimitado de sobrecusto. 'Ativos relevantes' não está definido: não se sabe se inclui estações, rede, aplicações, SaaS ou subsidiárias.</t>
        </is>
      </c>
      <c r="K10" s="4" t="inlineStr">
        <is>
          <t>Declarar uma premissa de EPS e GB/dia estimados (ex.: com base em 850 servidores, 2 DCs e 2 nuvens), com faixa contratada e preço unitário por excedente. Definir a lista de fontes de log no anexo da proposta. Insistir na volumetria via Q&amp;A.</t>
        </is>
      </c>
      <c r="L10" s="4" t="inlineStr">
        <is>
          <t>PE-10</t>
        </is>
      </c>
    </row>
    <row r="11">
      <c r="A11" s="4" t="inlineStr">
        <is>
          <t>TS-05</t>
        </is>
      </c>
      <c r="B11" s="4" t="inlineStr">
        <is>
          <t>Escopo SOC</t>
        </is>
      </c>
      <c r="C11" s="4" t="inlineStr">
        <is>
          <t>Resposta a incidentes</t>
        </is>
      </c>
      <c r="D11" s="4" t="inlineStr">
        <is>
          <t>Anexo I 1.5</t>
        </is>
      </c>
      <c r="E11" s="4" t="inlineStr">
        <is>
          <t>Anexo I 6.1</t>
        </is>
      </c>
      <c r="F11" s="4" t="inlineStr">
        <is>
          <t>Resposta a incidentes, incluindo contenção, erradicação e relatório pós-incidente.</t>
        </is>
      </c>
      <c r="G11" s="4" t="inlineStr">
        <is>
          <t>IR incluso</t>
        </is>
      </c>
      <c r="H11" s="4" t="inlineStr">
        <is>
          <t>Ambiguidade (limites do IR)</t>
        </is>
      </c>
      <c r="I11" s="4" t="inlineStr">
        <is>
          <t>Alto</t>
        </is>
      </c>
      <c r="J11" s="4" t="inlineStr">
        <is>
          <t>Não há limites: não se sabe se o atendimento é remoto ou presencial, se inclui forense e recuperação, nem quantas horas ou incidentes estão cobertos. Somado à responsabilidade ilimitada (CT-05), executar contenção e erradicação aumenta a exposição.</t>
        </is>
      </c>
      <c r="K11" s="4" t="inlineStr">
        <is>
          <t>Definir o escopo de IR (remoto, banco de horas, forense como opcional) e as responsabilidades de cada parte em matriz RACI.</t>
        </is>
      </c>
      <c r="L11" s="4" t="inlineStr">
        <is>
          <t>PE-11</t>
        </is>
      </c>
    </row>
    <row r="12">
      <c r="A12" s="4" t="inlineStr">
        <is>
          <t>TS-06</t>
        </is>
      </c>
      <c r="B12" s="4" t="inlineStr">
        <is>
          <t>Escopo SOC</t>
        </is>
      </c>
      <c r="C12" s="4" t="inlineStr">
        <is>
          <t>Migração de 24 meses de logs históricos</t>
        </is>
      </c>
      <c r="D12" s="4" t="inlineStr">
        <is>
          <t>PPTX slide 5</t>
        </is>
      </c>
      <c r="E12" s="4" t="inlineStr">
        <is>
          <t>Anexo I 1.3/1.6; PPTX slide 3</t>
        </is>
      </c>
      <c r="F12" s="4" t="inlineStr">
        <is>
          <t>Expectativa apresentada no workshop: migrar 24 meses de logs históricos do SIEM legado para a nova plataforma.</t>
        </is>
      </c>
      <c r="G12" s="4" t="inlineStr">
        <is>
          <t>Fora do RFP/Anexo I: tratar como opcional</t>
        </is>
      </c>
      <c r="H12" s="4" t="inlineStr">
        <is>
          <t>ESCOPO NÃO FORMALIZADO</t>
        </is>
      </c>
      <c r="I12" s="4" t="inlineStr">
        <is>
          <t>Alto</t>
        </is>
      </c>
      <c r="J12" s="4" t="inlineStr">
        <is>
          <t>Não consta no RFP nem no Anexo I. O volume é desconhecido e a migração depende do fornecedor e do formato do SIEM legado, cujo contrato acaba em 31/01/2027. Se virar obrigação depois, gera custo não precificado.</t>
        </is>
      </c>
      <c r="K12" s="4" t="inlineStr">
        <is>
          <t>Perguntar via Q&amp;A se faz parte do escopo. Cotar como item opcional e separado, com premissas de volume e formato e com a cooperação do fornecedor atual.</t>
        </is>
      </c>
      <c r="L12" s="4" t="inlineStr">
        <is>
          <t>PE-02</t>
        </is>
      </c>
    </row>
    <row r="13">
      <c r="A13" s="4" t="inlineStr">
        <is>
          <t>SL-01</t>
        </is>
      </c>
      <c r="B13" s="4" t="inlineStr">
        <is>
          <t>SLA</t>
        </is>
      </c>
      <c r="C13" s="4" t="inlineStr">
        <is>
          <t>Início de tratamento de incidentes críticos</t>
        </is>
      </c>
      <c r="D13" s="4" t="inlineStr">
        <is>
          <t>Anexo I 2.1</t>
        </is>
      </c>
      <c r="E13" s="4" t="inlineStr">
        <is>
          <t>RFP 7.4</t>
        </is>
      </c>
      <c r="F13" s="4" t="inlineStr">
        <is>
          <t>Tempo máximo de 15 minutos para iniciar o tratamento de incidentes críticos.</t>
        </is>
      </c>
      <c r="G13" s="4" t="inlineStr">
        <is>
          <t>15 min</t>
        </is>
      </c>
      <c r="H13" s="4" t="inlineStr">
        <is>
          <t>—</t>
        </is>
      </c>
      <c r="I13" s="4" t="inlineStr">
        <is>
          <t>Alto</t>
        </is>
      </c>
      <c r="J13" s="4" t="inlineStr">
        <is>
          <t>Cada violação gera multa de 10% do valor mensal (CT-04). Não está definido o marco inicial: detecção, alerta ou abertura do chamado.</t>
        </is>
      </c>
      <c r="K13" s="4" t="inlineStr">
        <is>
          <t>Definir o marco de início e de 'início do tratamento'. Dimensionar o N2 de plantão.</t>
        </is>
      </c>
      <c r="L13" s="4" t="inlineStr">
        <is>
          <t>PE-12</t>
        </is>
      </c>
    </row>
    <row r="14">
      <c r="A14" s="4" t="inlineStr">
        <is>
          <t>SL-04</t>
        </is>
      </c>
      <c r="B14" s="4" t="inlineStr">
        <is>
          <t>SLA</t>
        </is>
      </c>
      <c r="C14" s="4" t="inlineStr">
        <is>
          <t>Classificação de criticidade</t>
        </is>
      </c>
      <c r="D14" s="4" t="inlineStr">
        <is>
          <t>Anexo I 2.4</t>
        </is>
      </c>
      <c r="E14" s="4" t="inlineStr"/>
      <c r="F14" s="4" t="inlineStr">
        <is>
          <t>A criticidade dos incidentes segue a matriz de classificação do Contratante.</t>
        </is>
      </c>
      <c r="G14" s="4" t="inlineStr">
        <is>
          <t>Matriz não fornecida</t>
        </is>
      </c>
      <c r="H14" s="4" t="inlineStr">
        <is>
          <t>Ambiguidade (matriz desconhecida)</t>
        </is>
      </c>
      <c r="I14" s="4" t="inlineStr">
        <is>
          <t>Alto</t>
        </is>
      </c>
      <c r="J14" s="4" t="inlineStr">
        <is>
          <t>O Contratante define sozinho o que é 'crítico' e, com isso, o volume de SLA de 15 minutos e de multas.</t>
        </is>
      </c>
      <c r="K14" s="4" t="inlineStr">
        <is>
          <t>Pedir a matriz. Propor que a classificação seja acordada na transição e que mudanças passem por governança.</t>
        </is>
      </c>
      <c r="L14" s="4" t="inlineStr">
        <is>
          <t>PE-12</t>
        </is>
      </c>
    </row>
    <row r="15">
      <c r="A15" s="4" t="inlineStr">
        <is>
          <t>IA-01</t>
        </is>
      </c>
      <c r="B15" s="4" t="inlineStr">
        <is>
          <t>Escopo IAM</t>
        </is>
      </c>
      <c r="C15" s="4" t="inlineStr">
        <is>
          <t>Ciclo de vida de identidades / revogação em 24h</t>
        </is>
      </c>
      <c r="D15" s="4" t="inlineStr">
        <is>
          <t>Anexo I 3.1</t>
        </is>
      </c>
      <c r="E15" s="4" t="inlineStr">
        <is>
          <t>PPTX slide 3</t>
        </is>
      </c>
      <c r="F15" s="4" t="inlineStr">
        <is>
          <t>Gestão de admissão, movimentação e desligamento, com revogação dos acessos de desligados em até 24 horas. Ambiente atual: Active Directory + scripts internos.</t>
        </is>
      </c>
      <c r="G15" s="4" t="inlineStr">
        <is>
          <t>Revogação em 24h</t>
        </is>
      </c>
      <c r="H15" s="4" t="inlineStr">
        <is>
          <t>Ambiguidade (gatilho e ferramenta)</t>
        </is>
      </c>
      <c r="I15" s="4" t="inlineStr">
        <is>
          <t>Alto</t>
        </is>
      </c>
      <c r="J15" s="4" t="inlineStr">
        <is>
          <t>O prazo depende de o RH comunicar o desligamento. Não se sabe se o proponente fornece ferramenta de IGA nem quais sistemas-alvo entram, além do AD.</t>
        </is>
      </c>
      <c r="K15" s="4" t="inlineStr">
        <is>
          <t>Definir o gatilho (evento do RH), os sistemas-alvo e se haverá ferramenta de IGA fornecida. Cotar a integração com o RH.</t>
        </is>
      </c>
      <c r="L15" s="4" t="inlineStr">
        <is>
          <t>PE-11</t>
        </is>
      </c>
    </row>
    <row r="16">
      <c r="A16" s="4" t="inlineStr">
        <is>
          <t>IA-05</t>
        </is>
      </c>
      <c r="B16" s="4" t="inlineStr">
        <is>
          <t>Escopo IAM</t>
        </is>
      </c>
      <c r="C16" s="4" t="inlineStr">
        <is>
          <t>Modelo do serviço IAM</t>
        </is>
      </c>
      <c r="D16" s="4" t="inlineStr">
        <is>
          <t>RFP 2.1</t>
        </is>
      </c>
      <c r="E16" s="4" t="inlineStr">
        <is>
          <t>Anexo I 3</t>
        </is>
      </c>
      <c r="F16" s="4" t="inlineStr">
        <is>
          <t>Serviço gerenciado de IAM para cerca de 4.500 colaboradores. Não diz se inclui licenciamento de ferramentas.</t>
        </is>
      </c>
      <c r="G16" s="4" t="inlineStr">
        <is>
          <t>Indefinido (serviço ou serviço + ferramenta)</t>
        </is>
      </c>
      <c r="H16" s="4" t="inlineStr">
        <is>
          <t>Ambiguidade</t>
        </is>
      </c>
      <c r="I16" s="4" t="inlineStr">
        <is>
          <t>Alto</t>
        </is>
      </c>
      <c r="J16" s="4" t="inlineStr">
        <is>
          <t>O RFP diz que o SIEM é do proponente, mas é omisso quanto às ferramentas de IAM (IGA, MFA, PAM). A diferença de preço é grande.</t>
        </is>
      </c>
      <c r="K16" s="4" t="inlineStr">
        <is>
          <t>Perguntar via Q&amp;A. Precificar com ferramentas separadas por linha.</t>
        </is>
      </c>
      <c r="L16" s="4" t="inlineStr">
        <is>
          <t>PE-11</t>
        </is>
      </c>
    </row>
    <row r="17">
      <c r="A17" s="4" t="inlineStr">
        <is>
          <t>DM-01</t>
        </is>
      </c>
      <c r="B17" s="4" t="inlineStr">
        <is>
          <t>Dimensionamento</t>
        </is>
      </c>
      <c r="C17" s="4" t="inlineStr">
        <is>
          <t>Número de usuários</t>
        </is>
      </c>
      <c r="D17" s="4" t="inlineStr">
        <is>
          <t>Q&amp;A #5</t>
        </is>
      </c>
      <c r="E17" s="4" t="inlineStr">
        <is>
          <t>RFP 2.1; PPTX slide 2; PPTX notas slide 5</t>
        </is>
      </c>
      <c r="F17" s="4" t="inlineStr">
        <is>
          <t>RFP 2.1: cerca de 4.500 colaboradores. PPTX: 6.200 usuários ativos. Notas do PPTX: mais cerca de 900 usuários das subsidiárias. Q&amp;A #5: 'considerar 5.000 usuários'.</t>
        </is>
      </c>
      <c r="G17" s="4" t="inlineStr">
        <is>
          <t>5.000 usuários (Q&amp;A #5) com preço por excedente</t>
        </is>
      </c>
      <c r="H17" s="4" t="inlineStr">
        <is>
          <t>CONFLITO entre 4 números (4.500 / 5.000 / 6.200 / ~7.100)</t>
        </is>
      </c>
      <c r="I17" s="4" t="inlineStr">
        <is>
          <t>Alto</t>
        </is>
      </c>
      <c r="J17" s="4" t="inlineStr">
        <is>
          <t>O Q&amp;A é a fonte oficial mais recente, mas o próprio banco mostrou 6.200 usuários ativos (talvez incluindo terceiros ou contas de serviço) e, com as subsidiárias, cerca de 7.100. Precificar só com 5.000 pode subdimensionar o serviço em até 42%.</t>
        </is>
      </c>
      <c r="K17" s="4" t="inlineStr">
        <is>
          <t>Precificar a base de 5.000 conforme o Q&amp;A, com preço unitário por usuário adicional e faixas. Declarar a premissa na proposta e pedir a definição de 'usuário' (colaborador, terceiro, conta de serviço).</t>
        </is>
      </c>
      <c r="L17" s="4" t="inlineStr">
        <is>
          <t>PE-01</t>
        </is>
      </c>
    </row>
    <row r="18">
      <c r="A18" s="4" t="inlineStr">
        <is>
          <t>DM-02</t>
        </is>
      </c>
      <c r="B18" s="4" t="inlineStr">
        <is>
          <t>Dimensionamento</t>
        </is>
      </c>
      <c r="C18" s="4" t="inlineStr">
        <is>
          <t>Subsidiárias no escopo</t>
        </is>
      </c>
      <c r="D18" s="4" t="inlineStr">
        <is>
          <t>PPTX notas do slide 5</t>
        </is>
      </c>
      <c r="E18" s="4" t="inlineStr">
        <is>
          <t>RFP 2.1</t>
        </is>
      </c>
      <c r="F18" s="4" t="inlineStr">
        <is>
          <t>Nota do apresentador: Horizonte Seguros e Horizonte Investimentos (cerca de 900 usuários) também deverão entrar no escopo.</t>
        </is>
      </c>
      <c r="G18" s="4" t="inlineStr">
        <is>
          <t>Fora do RFP: tratar como opcional</t>
        </is>
      </c>
      <c r="H18" s="4" t="inlineStr">
        <is>
          <t>ESCOPO NÃO FORMALIZADO</t>
        </is>
      </c>
      <c r="I18" s="4" t="inlineStr">
        <is>
          <t>Alto</t>
        </is>
      </c>
      <c r="J18" s="4" t="inlineStr">
        <is>
          <t>Essa informação está só nas notas do apresentador. O RFP fala em contratante único. As subsidiárias são pessoas jurídicas distintas e podem ter outros reguladores (seguradora/SUSEP, gestora/CVM). Isso afeta partes do contrato, faturamento, Anexo III, SLA e responsabilidade.</t>
        </is>
      </c>
      <c r="K18" s="4" t="inlineStr">
        <is>
          <t>Perguntar via Q&amp;A. Se confirmado, cotar como módulo opcional e exigir que as subsidiárias sejam partes ou intervenientes no contrato.</t>
        </is>
      </c>
      <c r="L18" s="4" t="inlineStr">
        <is>
          <t>PE-01</t>
        </is>
      </c>
    </row>
    <row r="19">
      <c r="A19" s="4" t="inlineStr">
        <is>
          <t>CT-04</t>
        </is>
      </c>
      <c r="B19" s="4" t="inlineStr">
        <is>
          <t>Contratual</t>
        </is>
      </c>
      <c r="C19" s="4" t="inlineStr">
        <is>
          <t>Multa por descumprimento de SLA</t>
        </is>
      </c>
      <c r="D19" s="4" t="inlineStr">
        <is>
          <t>RFP 7.4</t>
        </is>
      </c>
      <c r="E19" s="4" t="inlineStr">
        <is>
          <t>Q&amp;A #4; Anexo I 2</t>
        </is>
      </c>
      <c r="F19" s="4" t="inlineStr">
        <is>
          <t>Multa de 10% do valor mensal do contrato por ocorrência de descumprimento de qualquer SLA. Q&amp;A #4: 'as condições do item 7 permanecem inalteradas' (sem teto).</t>
        </is>
      </c>
      <c r="G19" s="4" t="inlineStr">
        <is>
          <t>10% por ocorrência, SEM TETO</t>
        </is>
      </c>
      <c r="H19" s="4" t="inlineStr">
        <is>
          <t>Risco crítico (Q&amp;A recusou limitar)</t>
        </is>
      </c>
      <c r="I19" s="4" t="inlineStr">
        <is>
          <t>Alto</t>
        </is>
      </c>
      <c r="J19" s="4" t="inlineStr">
        <is>
          <t>Dez ocorrências no mês consomem 100% da mensalidade. A multa vale para todos os SLAs, inclusive atraso de relatório, e a criticidade é definida pelo banco (SL-04). Não há gradação nem cura, e o tema não foi negociado no Q&amp;A.</t>
        </is>
      </c>
      <c r="K19" s="4" t="inlineStr">
        <is>
          <t>Jurídico: propor teto mensal (ex.: 10-20% da fatura), gradação por SLA, período de carência na transição e exclusões. Pricing: provisionar risco. Avaliar se a proposta pode trazer ressalvas sem desclassificação.</t>
        </is>
      </c>
      <c r="L19" s="4" t="inlineStr">
        <is>
          <t>PE-16</t>
        </is>
      </c>
    </row>
    <row r="20">
      <c r="A20" s="4" t="inlineStr">
        <is>
          <t>CT-05</t>
        </is>
      </c>
      <c r="B20" s="4" t="inlineStr">
        <is>
          <t>Contratual</t>
        </is>
      </c>
      <c r="C20" s="4" t="inlineStr">
        <is>
          <t>Responsabilidade ilimitada</t>
        </is>
      </c>
      <c r="D20" s="4" t="inlineStr">
        <is>
          <t>RFP 7.5</t>
        </is>
      </c>
      <c r="E20" s="4" t="inlineStr"/>
      <c r="F20" s="4" t="inlineStr">
        <is>
          <t>A Contratada responde de forma integral e ilimitada por quaisquer danos decorrentes de incidentes de segurança no ambiente do Contratante.</t>
        </is>
      </c>
      <c r="G20" s="4" t="inlineStr">
        <is>
          <t>Ilimitada, sem nexo causal</t>
        </is>
      </c>
      <c r="H20" s="4" t="inlineStr">
        <is>
          <t>Risco crítico / possível no-go</t>
        </is>
      </c>
      <c r="I20" s="4" t="inlineStr">
        <is>
          <t>Alto</t>
        </is>
      </c>
      <c r="J20" s="4" t="inlineStr">
        <is>
          <t>Na redação atual, a Contratada responde por qualquer incidente no ambiente do banco, mesmo sem culpa ou nexo com o serviço (ex.: falha de sistema do próprio banco). Inclui danos indiretos e lucros cessantes. Nenhum seguro cobre esse risco, e a cláusula conflita com 7.6.</t>
        </is>
      </c>
      <c r="K20" s="4" t="inlineStr">
        <is>
          <t>Ponto de go/no-go. Propor responsabilidade limitada a 12 meses de contrato, apenas por culpa comprovada e excluindo danos indiretos. Escalar à diretoria.</t>
        </is>
      </c>
      <c r="L20" s="4" t="inlineStr">
        <is>
          <t>PE-16</t>
        </is>
      </c>
    </row>
    <row r="21">
      <c r="A21" s="4" t="inlineStr">
        <is>
          <t>CT-07</t>
        </is>
      </c>
      <c r="B21" s="4" t="inlineStr">
        <is>
          <t>Contratual</t>
        </is>
      </c>
      <c r="C21" s="4" t="inlineStr">
        <is>
          <t>Vedação à subcontratação</t>
        </is>
      </c>
      <c r="D21" s="4" t="inlineStr">
        <is>
          <t>RFP 7.7</t>
        </is>
      </c>
      <c r="E21" s="4" t="inlineStr">
        <is>
          <t>Anexo I 1.2</t>
        </is>
      </c>
      <c r="F21" s="4" t="inlineStr">
        <is>
          <t>É vedada a subcontratação, total ou parcial, do objeto.</t>
        </is>
      </c>
      <c r="G21" s="4" t="inlineStr">
        <is>
          <t>Vedada</t>
        </is>
      </c>
      <c r="H21" s="4" t="inlineStr">
        <is>
          <t>CONFLITO prático com SIEM em nuvem / fabricantes</t>
        </is>
      </c>
      <c r="I21" s="4" t="inlineStr">
        <is>
          <t>Alto</t>
        </is>
      </c>
      <c r="J21" s="4" t="inlineStr">
        <is>
          <t>O próprio Anexo I prevê SIEM em nuvem pública, ou seja, um hyperscaler. Suporte de fabricante, threat intel de terceiros e forense especializada também podem ser vistos como subcontratação. A vedação também impede consórcio ou parceiro para IAM.</t>
        </is>
      </c>
      <c r="K21" s="4" t="inlineStr">
        <is>
          <t>Pedir confirmação de que provedores de nuvem, licenças e suporte de fabricantes não são subcontratação. Listar os terceiros na proposta.</t>
        </is>
      </c>
      <c r="L21" s="4" t="inlineStr">
        <is>
          <t>PE-17</t>
        </is>
      </c>
    </row>
    <row r="22">
      <c r="A22" s="4" t="inlineStr">
        <is>
          <t>RG-01</t>
        </is>
      </c>
      <c r="B22" s="4" t="inlineStr">
        <is>
          <t>Regulatório</t>
        </is>
      </c>
      <c r="C22" s="4" t="inlineStr">
        <is>
          <t>Resolução CMN nº 4.893/2021</t>
        </is>
      </c>
      <c r="D22" s="4" t="inlineStr">
        <is>
          <t>RFP 1.2</t>
        </is>
      </c>
      <c r="E22" s="4" t="inlineStr">
        <is>
          <t>QT-04 (obrigatório, peso 3); Anexo III; Anexo I 1.2</t>
        </is>
      </c>
      <c r="F22" s="4" t="inlineStr">
        <is>
          <t>O banco está sujeito à Res. CMN 4.893/2021 (política de segurança cibernética e contratação de processamento, armazenamento e nuvem).</t>
        </is>
      </c>
      <c r="G22" s="4" t="inlineStr">
        <is>
          <t>Conformidade exigida</t>
        </is>
      </c>
      <c r="H22" s="4" t="inlineStr">
        <is>
          <t>Relacionado ao conflito TS-02</t>
        </is>
      </c>
      <c r="I22" s="4" t="inlineStr">
        <is>
          <t>Alto</t>
        </is>
      </c>
      <c r="J22" s="4" t="inlineStr">
        <is>
          <t>A norma impõe requisitos contratuais à contratação de serviços relevantes de processamento e nuvem (acesso do BCB, continuidade, comunicação ao regulador etc.). QT-04 é obrigatório e tem o maior peso. Confirmar a redação vigente da norma, que pode ter sido alterada.</t>
        </is>
      </c>
      <c r="K22" s="4" t="inlineStr">
        <is>
          <t>Montar um anexo de conformidade com a Res. 4.893 (cláusulas exigidas, acesso do BCB, plano de continuidade, localização no Brasil) e conferir a versão vigente.</t>
        </is>
      </c>
      <c r="L22" s="4" t="inlineStr">
        <is>
          <t>PE-06</t>
        </is>
      </c>
    </row>
    <row r="23">
      <c r="A23" s="4" t="inlineStr">
        <is>
          <t>CR-06</t>
        </is>
      </c>
      <c r="B23" s="4" t="inlineStr">
        <is>
          <t>Cronograma</t>
        </is>
      </c>
      <c r="C23" s="4" t="inlineStr">
        <is>
          <t>Operação paralela sem custo</t>
        </is>
      </c>
      <c r="D23" s="4" t="inlineStr">
        <is>
          <t>Anexo I 4.2</t>
        </is>
      </c>
      <c r="E23" s="4" t="inlineStr">
        <is>
          <t>PPTX slide 3</t>
        </is>
      </c>
      <c r="F23" s="4" t="inlineStr">
        <is>
          <t>Durante a transição, operar em paralelo com o fornecedor atual, sem custo adicional para o Contratante.</t>
        </is>
      </c>
      <c r="G23" s="4" t="inlineStr">
        <is>
          <t>Paralelo sem custo adicional</t>
        </is>
      </c>
      <c r="H23" s="4" t="inlineStr">
        <is>
          <t>Ambiguidade (duração do paralelo)</t>
        </is>
      </c>
      <c r="I23" s="4" t="inlineStr">
        <is>
          <t>Médio</t>
        </is>
      </c>
      <c r="J23" s="4" t="inlineStr">
        <is>
          <t>O custo da operação paralela tem de ser diluído na mensalidade. A duração depende de CR-05 e fica limitada pelo fim do SIEM legado em 31/01/2027.</t>
        </is>
      </c>
      <c r="K23" s="4" t="inlineStr">
        <is>
          <t>Embutir o custo de transição e paralelo no preço, ou em uma linha de setup se o Anexo IV permitir. Limitar o paralelo ao prazo de transição.</t>
        </is>
      </c>
      <c r="L23" s="4" t="inlineStr">
        <is>
          <t>PE-04</t>
        </is>
      </c>
    </row>
    <row r="24">
      <c r="A24" s="4" t="inlineStr">
        <is>
          <t>AV-01</t>
        </is>
      </c>
      <c r="B24" s="4" t="inlineStr">
        <is>
          <t>Avaliação</t>
        </is>
      </c>
      <c r="C24" s="4" t="inlineStr">
        <is>
          <t>Composição da nota final</t>
        </is>
      </c>
      <c r="D24" s="4" t="inlineStr">
        <is>
          <t>RFP 6.1</t>
        </is>
      </c>
      <c r="E24" s="4" t="inlineStr"/>
      <c r="F24" s="4" t="inlineStr">
        <is>
          <t>Nota final = Nota Técnica (peso 60%) + Nota de Preço (peso 40%).</t>
        </is>
      </c>
      <c r="G24" s="4" t="inlineStr">
        <is>
          <t>60/40</t>
        </is>
      </c>
      <c r="H24" s="4" t="inlineStr">
        <is>
          <t>Ambiguidade (fórmula de preço)</t>
        </is>
      </c>
      <c r="I24" s="4" t="inlineStr">
        <is>
          <t>Médio</t>
        </is>
      </c>
      <c r="J24" s="4" t="inlineStr">
        <is>
          <t>A fórmula da Nota de Preço não foi informada (proporcional ao menor preço? faixas?). Sem ela não dá para simular o trade-off entre preço e técnica.</t>
        </is>
      </c>
      <c r="K24" s="4" t="inlineStr">
        <is>
          <t>Pedir a fórmula da Nota de Preço.</t>
        </is>
      </c>
      <c r="L24" s="4" t="inlineStr">
        <is>
          <t>PE-07</t>
        </is>
      </c>
    </row>
    <row r="25">
      <c r="A25" s="4" t="inlineStr">
        <is>
          <t>TS-01</t>
        </is>
      </c>
      <c r="B25" s="4" t="inlineStr">
        <is>
          <t>Escopo SOC</t>
        </is>
      </c>
      <c r="C25" s="4" t="inlineStr">
        <is>
          <t>Monitoramento 24x7x365</t>
        </is>
      </c>
      <c r="D25" s="4" t="inlineStr">
        <is>
          <t>Anexo I 1.1</t>
        </is>
      </c>
      <c r="E25" s="4" t="inlineStr">
        <is>
          <t>RFP 2.1</t>
        </is>
      </c>
      <c r="F25" s="4" t="inlineStr">
        <is>
          <t>Monitoramento contínuo de eventos de segurança em regime 24x7x365.</t>
        </is>
      </c>
      <c r="G25" s="4" t="inlineStr">
        <is>
          <t>24x7x365</t>
        </is>
      </c>
      <c r="H25" s="4" t="inlineStr">
        <is>
          <t>—</t>
        </is>
      </c>
      <c r="I25" s="4" t="inlineStr">
        <is>
          <t>Médio</t>
        </is>
      </c>
      <c r="J25" s="4" t="inlineStr">
        <is>
          <t>É a base de dimensionamento dos turnos (mínimo de 5 a 6 FTEs por posição 24x7).</t>
        </is>
      </c>
      <c r="K25" s="4" t="inlineStr">
        <is>
          <t>Dimensionar a escala com base em cerca de 1.200 alertas/dia (TS-07).</t>
        </is>
      </c>
      <c r="L25" s="4" t="inlineStr">
        <is>
          <t>—</t>
        </is>
      </c>
    </row>
    <row r="26">
      <c r="A26" s="4" t="inlineStr">
        <is>
          <t>TS-07</t>
        </is>
      </c>
      <c r="B26" s="4" t="inlineStr">
        <is>
          <t>Escopo SOC</t>
        </is>
      </c>
      <c r="C26" s="4" t="inlineStr">
        <is>
          <t>Meta de falsos positivos</t>
        </is>
      </c>
      <c r="D26" s="4" t="inlineStr">
        <is>
          <t>PPTX slide 4</t>
        </is>
      </c>
      <c r="E26" s="4" t="inlineStr">
        <is>
          <t>Anexo I 2</t>
        </is>
      </c>
      <c r="F26" s="4" t="inlineStr">
        <is>
          <t>Hoje são cerca de 1.200 alertas/dia e 70% de falsos positivos. Meta: 10% de falsos positivos no primeiro trimestre de operação.</t>
        </is>
      </c>
      <c r="G26" s="4" t="inlineStr">
        <is>
          <t>Não é SLA contratual (não consta no Anexo I 2)</t>
        </is>
      </c>
      <c r="H26" s="4" t="inlineStr">
        <is>
          <t>Expectativa x SLA</t>
        </is>
      </c>
      <c r="I26" s="4" t="inlineStr">
        <is>
          <t>Médio</t>
        </is>
      </c>
      <c r="J26" s="4" t="inlineStr">
        <is>
          <t>Sair de 70% para 10% em 3 meses é agressivo, depende do tuning e da cooperação do banco e pode virar critério de aceite informal. Se for incluída como SLA, incide multa de 10% (CT-04).</t>
        </is>
      </c>
      <c r="K26" s="4" t="inlineStr">
        <is>
          <t>Apresentar a redução de falsos positivos como plano de tuning progressivo, sem compromisso contratual de 10% no primeiro trimestre. Pedir confirmação de que não é SLA.</t>
        </is>
      </c>
      <c r="L26" s="4" t="inlineStr">
        <is>
          <t>PE-02</t>
        </is>
      </c>
    </row>
    <row r="27">
      <c r="A27" s="4" t="inlineStr">
        <is>
          <t>TS-09</t>
        </is>
      </c>
      <c r="B27" s="4" t="inlineStr">
        <is>
          <t>Escopo SOC</t>
        </is>
      </c>
      <c r="C27" s="4" t="inlineStr">
        <is>
          <t>SOAR</t>
        </is>
      </c>
      <c r="D27" s="4" t="inlineStr">
        <is>
          <t>QT-02 (não obrigatório, peso 1)</t>
        </is>
      </c>
      <c r="E27" s="4" t="inlineStr">
        <is>
          <t>Aba Pesos</t>
        </is>
      </c>
      <c r="F27" s="4" t="inlineStr">
        <is>
          <t>Integração nativa com plataforma SOAR.</t>
        </is>
      </c>
      <c r="G27" s="4" t="inlineStr">
        <is>
          <t>Oferecer: 'Não atende' = -2 pts</t>
        </is>
      </c>
      <c r="H27" s="4" t="inlineStr">
        <is>
          <t>Ver AV-05</t>
        </is>
      </c>
      <c r="I27" s="4" t="inlineStr">
        <is>
          <t>Médio</t>
        </is>
      </c>
      <c r="J27" s="4" t="inlineStr">
        <is>
          <t>Não consta no Anexo I, mas é penalizado se não for atendido. Também ajuda a cumprir o SLA de 15 minutos e a meta de falsos positivos.</t>
        </is>
      </c>
      <c r="K27" s="4" t="inlineStr">
        <is>
          <t>Incluir SOAR (nativo do SIEM ou ferramenta própria) no preço base.</t>
        </is>
      </c>
      <c r="L27" s="4" t="inlineStr">
        <is>
          <t>PE-08</t>
        </is>
      </c>
    </row>
    <row r="28">
      <c r="A28" s="4" t="inlineStr">
        <is>
          <t>TS-10</t>
        </is>
      </c>
      <c r="B28" s="4" t="inlineStr">
        <is>
          <t>Escopo SOC</t>
        </is>
      </c>
      <c r="C28" s="4" t="inlineStr">
        <is>
          <t>Threat intelligence</t>
        </is>
      </c>
      <c r="D28" s="4" t="inlineStr">
        <is>
          <t>QT-05 (não obrigatório, peso 2)</t>
        </is>
      </c>
      <c r="E28" s="4" t="inlineStr">
        <is>
          <t>Aba Pesos</t>
        </is>
      </c>
      <c r="F28" s="4" t="inlineStr">
        <is>
          <t>Serviço de threat intelligence.</t>
        </is>
      </c>
      <c r="G28" s="4" t="inlineStr">
        <is>
          <t>Oferecer: 'Não atende' = -2 pts</t>
        </is>
      </c>
      <c r="H28" s="4" t="inlineStr">
        <is>
          <t>Ver AV-05</t>
        </is>
      </c>
      <c r="I28" s="4" t="inlineStr">
        <is>
          <t>Médio</t>
        </is>
      </c>
      <c r="J28" s="4" t="inlineStr">
        <is>
          <t>Não consta no Anexo I. Feeds de threat intel podem processar dados fora do Brasil, o que conflita com o Anexo III.</t>
        </is>
      </c>
      <c r="K28" s="4" t="inlineStr">
        <is>
          <t>Incluir threat intel (feeds e boletins) com garantia de que os dados do banco não saem do país.</t>
        </is>
      </c>
      <c r="L28" s="4" t="inlineStr">
        <is>
          <t>PE-08</t>
        </is>
      </c>
    </row>
    <row r="29">
      <c r="A29" s="4" t="inlineStr">
        <is>
          <t>SL-02</t>
        </is>
      </c>
      <c r="B29" s="4" t="inlineStr">
        <is>
          <t>SLA</t>
        </is>
      </c>
      <c r="C29" s="4" t="inlineStr">
        <is>
          <t>Disponibilidade do SIEM</t>
        </is>
      </c>
      <c r="D29" s="4" t="inlineStr">
        <is>
          <t>Anexo I 2.2</t>
        </is>
      </c>
      <c r="E29" s="4" t="inlineStr">
        <is>
          <t>RFP 7.4</t>
        </is>
      </c>
      <c r="F29" s="4" t="inlineStr">
        <is>
          <t>Disponibilidade mínima mensal de 99,9% da plataforma SIEM.</t>
        </is>
      </c>
      <c r="G29" s="4" t="inlineStr">
        <is>
          <t>99,9% mensal (~43 min/mês)</t>
        </is>
      </c>
      <c r="H29" s="4" t="inlineStr">
        <is>
          <t>—</t>
        </is>
      </c>
      <c r="I29" s="4" t="inlineStr">
        <is>
          <t>Médio</t>
        </is>
      </c>
      <c r="J29" s="4" t="inlineStr">
        <is>
          <t>Depende do SLA do provedor de nuvem e do fabricante. Não define janelas de manutenção nem exclusões.</t>
        </is>
      </c>
      <c r="K29" s="4" t="inlineStr">
        <is>
          <t>Prever exclusões (manutenção programada, força maior, falhas do Contratante) e alinhar com o SLA do hyperscaler.</t>
        </is>
      </c>
      <c r="L29" s="4" t="inlineStr">
        <is>
          <t>PE-12</t>
        </is>
      </c>
    </row>
    <row r="30">
      <c r="A30" s="4" t="inlineStr">
        <is>
          <t>IA-02</t>
        </is>
      </c>
      <c r="B30" s="4" t="inlineStr">
        <is>
          <t>Escopo IAM</t>
        </is>
      </c>
      <c r="C30" s="4" t="inlineStr">
        <is>
          <t>MFA para privilegiados</t>
        </is>
      </c>
      <c r="D30" s="4" t="inlineStr">
        <is>
          <t>Anexo I 3.2</t>
        </is>
      </c>
      <c r="E30" s="4" t="inlineStr"/>
      <c r="F30" s="4" t="inlineStr">
        <is>
          <t>MFA obrigatório para 100% dos usuários com acesso privilegiado.</t>
        </is>
      </c>
      <c r="G30" s="4" t="inlineStr">
        <is>
          <t>100% privilegiados</t>
        </is>
      </c>
      <c r="H30" s="4" t="inlineStr">
        <is>
          <t>—</t>
        </is>
      </c>
      <c r="I30" s="4" t="inlineStr">
        <is>
          <t>Médio</t>
        </is>
      </c>
      <c r="J30" s="4" t="inlineStr">
        <is>
          <t>O número de contas privilegiadas não foi informado, e não se sabe se a solução de MFA é fornecida pelo proponente.</t>
        </is>
      </c>
      <c r="K30" s="4" t="inlineStr">
        <is>
          <t>Definir premissa de quantidade de contas privilegiadas e da solução de MFA.</t>
        </is>
      </c>
      <c r="L30" s="4" t="inlineStr">
        <is>
          <t>PE-11</t>
        </is>
      </c>
    </row>
    <row r="31">
      <c r="A31" s="4" t="inlineStr">
        <is>
          <t>IA-03</t>
        </is>
      </c>
      <c r="B31" s="4" t="inlineStr">
        <is>
          <t>Escopo IAM</t>
        </is>
      </c>
      <c r="C31" s="4" t="inlineStr">
        <is>
          <t>Recertificação trimestral</t>
        </is>
      </c>
      <c r="D31" s="4" t="inlineStr">
        <is>
          <t>Anexo I 3.3</t>
        </is>
      </c>
      <c r="E31" s="4" t="inlineStr"/>
      <c r="F31" s="4" t="inlineStr">
        <is>
          <t>Revisão (recertificação) trimestral dos acessos concedidos.</t>
        </is>
      </c>
      <c r="G31" s="4" t="inlineStr">
        <is>
          <t>Trimestral</t>
        </is>
      </c>
      <c r="H31" s="4" t="inlineStr">
        <is>
          <t>—</t>
        </is>
      </c>
      <c r="I31" s="4" t="inlineStr">
        <is>
          <t>Médio</t>
        </is>
      </c>
      <c r="J31" s="4" t="inlineStr">
        <is>
          <t>Exige ferramenta ou processo de campanha e depende da participação dos gestores do banco.</t>
        </is>
      </c>
      <c r="K31" s="4" t="inlineStr">
        <is>
          <t>Definir o escopo das campanhas e as responsabilidades do Contratante.</t>
        </is>
      </c>
      <c r="L31" s="4" t="inlineStr">
        <is>
          <t>PE-11</t>
        </is>
      </c>
    </row>
    <row r="32">
      <c r="A32" s="4" t="inlineStr">
        <is>
          <t>IA-04</t>
        </is>
      </c>
      <c r="B32" s="4" t="inlineStr">
        <is>
          <t>Escopo IAM</t>
        </is>
      </c>
      <c r="C32" s="4" t="inlineStr">
        <is>
          <t>PAM (cofre de senhas)</t>
        </is>
      </c>
      <c r="D32" s="4" t="inlineStr">
        <is>
          <t>Anexo I 3.4</t>
        </is>
      </c>
      <c r="E32" s="4" t="inlineStr">
        <is>
          <t>PPTX slide 3</t>
        </is>
      </c>
      <c r="F32" s="4" t="inlineStr">
        <is>
          <t>É desejável cofre de senhas para contas privilegiadas (PAM). O banco não tem PAM hoje.</t>
        </is>
      </c>
      <c r="G32" s="4" t="inlineStr">
        <is>
          <t>Opcional</t>
        </is>
      </c>
      <c r="H32" s="4" t="inlineStr">
        <is>
          <t>—</t>
        </is>
      </c>
      <c r="I32" s="4" t="inlineStr">
        <is>
          <t>Médio</t>
        </is>
      </c>
      <c r="J32" s="4" t="inlineStr">
        <is>
          <t>Pode pesar no critério 'Ferramentas e tecnologia' (15 pontos). Não está no questionário, então não há penalidade oculta.</t>
        </is>
      </c>
      <c r="K32" s="4" t="inlineStr">
        <is>
          <t>Cotar o PAM como item opcional separado, para não inflar o preço base.</t>
        </is>
      </c>
      <c r="L32" s="4" t="inlineStr">
        <is>
          <t>—</t>
        </is>
      </c>
    </row>
    <row r="33">
      <c r="A33" s="4" t="inlineStr">
        <is>
          <t>EQ-01</t>
        </is>
      </c>
      <c r="B33" s="4" t="inlineStr">
        <is>
          <t>Equipe</t>
        </is>
      </c>
      <c r="C33" s="4" t="inlineStr">
        <is>
          <t>Coordenador CISSP dedicado</t>
        </is>
      </c>
      <c r="D33" s="4" t="inlineStr">
        <is>
          <t>Anexo I 5.1</t>
        </is>
      </c>
      <c r="E33" s="4" t="inlineStr">
        <is>
          <t>RFP 5.2</t>
        </is>
      </c>
      <c r="F33" s="4" t="inlineStr">
        <is>
          <t>Coordenador com certificação CISSP, dedicado exclusivamente ao contrato.</t>
        </is>
      </c>
      <c r="G33" s="4" t="inlineStr">
        <is>
          <t>1 FTE CISSP exclusivo</t>
        </is>
      </c>
      <c r="H33" s="4" t="inlineStr">
        <is>
          <t>—</t>
        </is>
      </c>
      <c r="I33" s="4" t="inlineStr">
        <is>
          <t>Médio</t>
        </is>
      </c>
      <c r="J33" s="4" t="inlineStr">
        <is>
          <t>Custo fixo relevante. Exigirá substituição equivalente em férias ou desligamento.</t>
        </is>
      </c>
      <c r="K33" s="4" t="inlineStr">
        <is>
          <t>Precificar 1 FTE sênior exclusivo e definir regra de substituto.</t>
        </is>
      </c>
      <c r="L33" s="4" t="inlineStr">
        <is>
          <t>—</t>
        </is>
      </c>
    </row>
    <row r="34">
      <c r="A34" s="4" t="inlineStr">
        <is>
          <t>CT-03</t>
        </is>
      </c>
      <c r="B34" s="4" t="inlineStr">
        <is>
          <t>Contratual</t>
        </is>
      </c>
      <c r="C34" s="4" t="inlineStr">
        <is>
          <t>Prazo de pagamento</t>
        </is>
      </c>
      <c r="D34" s="4" t="inlineStr">
        <is>
          <t>RFP 7.3</t>
        </is>
      </c>
      <c r="E34" s="4" t="inlineStr"/>
      <c r="F34" s="4" t="inlineStr">
        <is>
          <t>Pagamento em até 60 dias após o aceite da nota fiscal.</t>
        </is>
      </c>
      <c r="G34" s="4" t="inlineStr">
        <is>
          <t>60 dias após aceite</t>
        </is>
      </c>
      <c r="H34" s="4" t="inlineStr">
        <is>
          <t>Ambiguidade (critério de aceite)</t>
        </is>
      </c>
      <c r="I34" s="4" t="inlineStr">
        <is>
          <t>Médio</t>
        </is>
      </c>
      <c r="J34" s="4" t="inlineStr">
        <is>
          <t>Prazo longo, com custo financeiro. O prazo e o critério do aceite não estão definidos, então o ciclo real pode passar de 90 dias.</t>
        </is>
      </c>
      <c r="K34" s="4" t="inlineStr">
        <is>
          <t>Incluir o custo financeiro no preço. Propor aceite tácito em X dias.</t>
        </is>
      </c>
      <c r="L34" s="4" t="inlineStr">
        <is>
          <t>PE-16</t>
        </is>
      </c>
    </row>
    <row r="35">
      <c r="A35" s="4" t="inlineStr">
        <is>
          <t>CT-06</t>
        </is>
      </c>
      <c r="B35" s="4" t="inlineStr">
        <is>
          <t>Contratual</t>
        </is>
      </c>
      <c r="C35" s="4" t="inlineStr">
        <is>
          <t>Seguro cyber</t>
        </is>
      </c>
      <c r="D35" s="4" t="inlineStr">
        <is>
          <t>RFP 7.6</t>
        </is>
      </c>
      <c r="E35" s="4" t="inlineStr">
        <is>
          <t>RFP 7.5</t>
        </is>
      </c>
      <c r="F35" s="4" t="inlineStr">
        <is>
          <t>Manter seguro de responsabilidade civil cibernética 'em valor compatível com os riscos do contrato'.</t>
        </is>
      </c>
      <c r="G35" s="4" t="inlineStr">
        <is>
          <t>Valor indefinido</t>
        </is>
      </c>
      <c r="H35" s="4" t="inlineStr">
        <is>
          <t>Ambiguidade</t>
        </is>
      </c>
      <c r="I35" s="4" t="inlineStr">
        <is>
          <t>Médio</t>
        </is>
      </c>
      <c r="J35" s="4" t="inlineStr">
        <is>
          <t>'Compatível' é subjetivo e, junto com 7.5 (ilimitado), não tem referência.</t>
        </is>
      </c>
      <c r="K35" s="4" t="inlineStr">
        <is>
          <t>Pedir o valor mínimo da apólice. Cotar o prêmio com a corretora.</t>
        </is>
      </c>
      <c r="L35" s="4" t="inlineStr">
        <is>
          <t>PE-16</t>
        </is>
      </c>
    </row>
    <row r="36">
      <c r="A36" s="4" t="inlineStr">
        <is>
          <t>AV-04</t>
        </is>
      </c>
      <c r="B36" s="4" t="inlineStr">
        <is>
          <t>Avaliação</t>
        </is>
      </c>
      <c r="C36" s="4" t="inlineStr">
        <is>
          <t>Desempate</t>
        </is>
      </c>
      <c r="D36" s="4" t="inlineStr">
        <is>
          <t>RFP 6.4</t>
        </is>
      </c>
      <c r="E36" s="4" t="inlineStr"/>
      <c r="F36" s="4" t="inlineStr">
        <is>
          <t>Em caso de empate, prevalece a proposta de menor preço.</t>
        </is>
      </c>
      <c r="G36" s="4" t="inlineStr">
        <is>
          <t>Menor preço</t>
        </is>
      </c>
      <c r="H36" s="4" t="inlineStr">
        <is>
          <t>—</t>
        </is>
      </c>
      <c r="I36" s="4" t="inlineStr">
        <is>
          <t>Baixo</t>
        </is>
      </c>
      <c r="J36" s="4" t="inlineStr">
        <is>
          <t>Reforça o peso do preço.</t>
        </is>
      </c>
      <c r="K36" s="4" t="inlineStr">
        <is>
          <t>—</t>
        </is>
      </c>
      <c r="L36" s="4" t="inlineStr">
        <is>
          <t>—</t>
        </is>
      </c>
    </row>
    <row r="37">
      <c r="A37" s="4" t="inlineStr">
        <is>
          <t>TS-08</t>
        </is>
      </c>
      <c r="B37" s="4" t="inlineStr">
        <is>
          <t>Escopo SOC</t>
        </is>
      </c>
      <c r="C37" s="4" t="inlineStr">
        <is>
          <t>Visão unificada de riscos para a diretoria</t>
        </is>
      </c>
      <c r="D37" s="4" t="inlineStr">
        <is>
          <t>PPTX slide 5</t>
        </is>
      </c>
      <c r="E37" s="4" t="inlineStr"/>
      <c r="F37" s="4" t="inlineStr">
        <is>
          <t>Expectativa: visão unificada de riscos para a diretoria.</t>
        </is>
      </c>
      <c r="G37" s="4" t="inlineStr">
        <is>
          <t>Escopo não especificado</t>
        </is>
      </c>
      <c r="H37" s="4" t="inlineStr">
        <is>
          <t>Ambiguidade</t>
        </is>
      </c>
      <c r="I37" s="4" t="inlineStr">
        <is>
          <t>Baixo</t>
        </is>
      </c>
      <c r="J37" s="4" t="inlineStr">
        <is>
          <t>Pode significar dashboard executivo ou GRC. Não está especificado.</t>
        </is>
      </c>
      <c r="K37" s="4" t="inlineStr">
        <is>
          <t>Oferecer dashboard executivo dentro do relatório mensal (SL-03) e deixar GRC como opcional.</t>
        </is>
      </c>
      <c r="L37" s="4" t="inlineStr">
        <is>
          <t>PE-02</t>
        </is>
      </c>
    </row>
    <row r="38">
      <c r="A38" s="4" t="inlineStr">
        <is>
          <t>EQ-02</t>
        </is>
      </c>
      <c r="B38" s="4" t="inlineStr">
        <is>
          <t>Equipe</t>
        </is>
      </c>
      <c r="C38" s="4" t="inlineStr">
        <is>
          <t>Analistas N1 presenciais</t>
        </is>
      </c>
      <c r="D38" s="4" t="inlineStr">
        <is>
          <t>Q&amp;A #6</t>
        </is>
      </c>
      <c r="E38" s="4" t="inlineStr">
        <is>
          <t>Anexo I 5.2</t>
        </is>
      </c>
      <c r="F38" s="4" t="inlineStr">
        <is>
          <t>Anexo I 5.2: N1 presencial na sede em São Paulo/SP, em horário comercial. Q&amp;A #6: N1 pode atuar remotamente, desde que em território nacional.</t>
        </is>
      </c>
      <c r="G38" s="4" t="inlineStr">
        <is>
          <t>Remoto permitido, no Brasil</t>
        </is>
      </c>
      <c r="H38" s="4" t="inlineStr">
        <is>
          <t>Alterado pelo Q&amp;A</t>
        </is>
      </c>
      <c r="I38" s="4" t="inlineStr">
        <is>
          <t>Baixo</t>
        </is>
      </c>
      <c r="J38" s="4" t="inlineStr">
        <is>
          <t>A flexibilização reduz custo (deslocamento, posições on-site). Os dados continuam no Brasil (Anexo III).</t>
        </is>
      </c>
      <c r="K38" s="4" t="inlineStr">
        <is>
          <t>Precificar o N1 remoto no SOC nacional. Opcionalmente, oferecer presença on-site como diferencial.</t>
        </is>
      </c>
      <c r="L38" s="4" t="inlineStr">
        <is>
          <t>—</t>
        </is>
      </c>
    </row>
    <row r="39">
      <c r="A39" s="4" t="inlineStr">
        <is>
          <t>CT-01</t>
        </is>
      </c>
      <c r="B39" s="4" t="inlineStr">
        <is>
          <t>Contratual</t>
        </is>
      </c>
      <c r="C39" s="4" t="inlineStr">
        <is>
          <t>Vigência</t>
        </is>
      </c>
      <c r="D39" s="4" t="inlineStr">
        <is>
          <t>RFP 7.1</t>
        </is>
      </c>
      <c r="E39" s="4" t="inlineStr"/>
      <c r="F39" s="4" t="inlineStr">
        <is>
          <t>36 meses, prorrogável por iguais períodos mediante acordo.</t>
        </is>
      </c>
      <c r="G39" s="4" t="inlineStr">
        <is>
          <t>36 meses</t>
        </is>
      </c>
      <c r="H39" s="4" t="inlineStr">
        <is>
          <t>—</t>
        </is>
      </c>
      <c r="I39" s="4" t="inlineStr">
        <is>
          <t>Baixo</t>
        </is>
      </c>
      <c r="J39" s="4" t="inlineStr">
        <is>
          <t>Base para amortizar setup e transição.</t>
        </is>
      </c>
      <c r="K39" s="4" t="inlineStr">
        <is>
          <t>Amortizar setup em 36 meses e prever multa rescisória por término antecipado.</t>
        </is>
      </c>
      <c r="L39" s="4" t="inlineStr">
        <is>
          <t>—</t>
        </is>
      </c>
    </row>
    <row r="40">
      <c r="A40" s="4" t="inlineStr">
        <is>
          <t>CT-02</t>
        </is>
      </c>
      <c r="B40" s="4" t="inlineStr">
        <is>
          <t>Contratual</t>
        </is>
      </c>
      <c r="C40" s="4" t="inlineStr">
        <is>
          <t>Reajuste</t>
        </is>
      </c>
      <c r="D40" s="4" t="inlineStr">
        <is>
          <t>RFP 7.2</t>
        </is>
      </c>
      <c r="E40" s="4" t="inlineStr"/>
      <c r="F40" s="4" t="inlineStr">
        <is>
          <t>Reajuste anual pelo IPCA.</t>
        </is>
      </c>
      <c r="G40" s="4" t="inlineStr">
        <is>
          <t>IPCA anual</t>
        </is>
      </c>
      <c r="H40" s="4" t="inlineStr">
        <is>
          <t>—</t>
        </is>
      </c>
      <c r="I40" s="4" t="inlineStr">
        <is>
          <t>Baixo</t>
        </is>
      </c>
      <c r="J40" s="4" t="inlineStr">
        <is>
          <t>Licenças de SIEM e nuvem costumam ser cotadas em dólar. O IPCA não cobre a variação cambial.</t>
        </is>
      </c>
      <c r="K40" s="4" t="inlineStr">
        <is>
          <t>Avaliar hedge ou margem cambial nos componentes em USD.</t>
        </is>
      </c>
      <c r="L40" s="4" t="inlineStr">
        <is>
          <t>—</t>
        </is>
      </c>
    </row>
  </sheetData>
  <conditionalFormatting sqref="I2:I40">
    <cfRule type="expression" priority="1" dxfId="0">
      <formula>I2="Alto"</formula>
    </cfRule>
    <cfRule type="expression" priority="2" dxfId="1">
      <formula>I2="Médio"</formula>
    </cfRule>
    <cfRule type="expression" priority="3" dxfId="2">
      <formula>I2="Baixo"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40" customWidth="1" min="3" max="3"/>
    <col width="40" customWidth="1" min="4" max="4"/>
    <col width="38" customWidth="1" min="5" max="5"/>
    <col width="50" customWidth="1" min="6" max="6"/>
    <col width="14" customWidth="1" min="7" max="7"/>
    <col width="16" customWidth="1" min="8" max="8"/>
    <col width="10" customWidth="1" min="9" max="9"/>
  </cols>
  <sheetData>
    <row r="1">
      <c r="A1" s="3" t="inlineStr">
        <is>
          <t>ID</t>
        </is>
      </c>
      <c r="B1" s="3" t="inlineStr">
        <is>
          <t>Tema</t>
        </is>
      </c>
      <c r="C1" s="3" t="inlineStr">
        <is>
          <t>Fonte A</t>
        </is>
      </c>
      <c r="D1" s="3" t="inlineStr">
        <is>
          <t>Fonte B</t>
        </is>
      </c>
      <c r="E1" s="3" t="inlineStr">
        <is>
          <t>Fonte C / contexto</t>
        </is>
      </c>
      <c r="F1" s="3" t="inlineStr">
        <is>
          <t>Posição recomendada</t>
        </is>
      </c>
      <c r="G1" s="3" t="inlineStr">
        <is>
          <t>Gravidade</t>
        </is>
      </c>
      <c r="H1" s="3" t="inlineStr">
        <is>
          <t>Ref. matriz</t>
        </is>
      </c>
      <c r="I1" s="3" t="inlineStr">
        <is>
          <t>Pergunta</t>
        </is>
      </c>
    </row>
    <row r="2">
      <c r="A2" s="4" t="inlineStr">
        <is>
          <t>CF-01</t>
        </is>
      </c>
      <c r="B2" s="4" t="inlineStr">
        <is>
          <t>Prazo de transição</t>
        </is>
      </c>
      <c r="C2" s="4" t="inlineStr">
        <is>
          <t>RFP 3.2: 30 dias corridos da assinatura</t>
        </is>
      </c>
      <c r="D2" s="4" t="inlineStr">
        <is>
          <t>Anexo I 4.1: 60 dias corridos da assinatura</t>
        </is>
      </c>
      <c r="E2" s="4" t="inlineStr">
        <is>
          <t>PPTX: SIEM legado acaba em 31/01/2027 e início em 01/02/2027</t>
        </is>
      </c>
      <c r="F2" s="4" t="inlineStr">
        <is>
          <t>Planejar para 30 dias (pior caso) e pedir esclarecimento. Condicionar os prazos às entregas do Contratante.</t>
        </is>
      </c>
      <c r="G2" s="4" t="inlineStr">
        <is>
          <t>Alta</t>
        </is>
      </c>
      <c r="H2" s="4" t="inlineStr">
        <is>
          <t>CR-05</t>
        </is>
      </c>
      <c r="I2" s="4" t="inlineStr">
        <is>
          <t>PE-04</t>
        </is>
      </c>
    </row>
    <row r="3">
      <c r="A3" s="4" t="inlineStr">
        <is>
          <t>CF-02</t>
        </is>
      </c>
      <c r="B3" s="4" t="inlineStr">
        <is>
          <t>Localização do SIEM e dos dados</t>
        </is>
      </c>
      <c r="C3" s="4" t="inlineStr">
        <is>
          <t>Anexo I 1.2: nuvem pública, região de livre escolha</t>
        </is>
      </c>
      <c r="D3" s="4" t="inlineStr">
        <is>
          <t>Anexo III: dados e logs exclusivamente no Brasil (eliminatório)</t>
        </is>
      </c>
      <c r="E3" s="4" t="inlineStr">
        <is>
          <t>RFP 1.2 / QT-04: Res. CMN 4.893</t>
        </is>
      </c>
      <c r="F3" s="4" t="inlineStr">
        <is>
          <t>Prevalece o Anexo III (mais restritivo e eliminatório): tudo em região Brasil.</t>
        </is>
      </c>
      <c r="G3" s="4" t="inlineStr">
        <is>
          <t>Alta</t>
        </is>
      </c>
      <c r="H3" s="4" t="inlineStr">
        <is>
          <t>TS-02</t>
        </is>
      </c>
      <c r="I3" s="4" t="inlineStr">
        <is>
          <t>PE-06</t>
        </is>
      </c>
    </row>
    <row r="4">
      <c r="A4" s="4" t="inlineStr">
        <is>
          <t>CF-03</t>
        </is>
      </c>
      <c r="B4" s="4" t="inlineStr">
        <is>
          <t>Retenção de logs</t>
        </is>
      </c>
      <c r="C4" s="4" t="inlineStr">
        <is>
          <t>Anexo I 1.3: mínimo de 12 meses</t>
        </is>
      </c>
      <c r="D4" s="4" t="inlineStr">
        <is>
          <t>Anexo I 1.6: 5 anos para auditoria</t>
        </is>
      </c>
      <c r="E4" s="4" t="inlineStr">
        <is>
          <t>QT-03: 12 meses 'online'</t>
        </is>
      </c>
      <c r="F4" s="4" t="inlineStr">
        <is>
          <t>12 meses online + 5 anos em arquivo, com preço por camada.</t>
        </is>
      </c>
      <c r="G4" s="4" t="inlineStr">
        <is>
          <t>Alta</t>
        </is>
      </c>
      <c r="H4" s="4" t="inlineStr">
        <is>
          <t>TS-03</t>
        </is>
      </c>
      <c r="I4" s="4" t="inlineStr">
        <is>
          <t>PE-09</t>
        </is>
      </c>
    </row>
    <row r="5">
      <c r="A5" s="4" t="inlineStr">
        <is>
          <t>CF-04</t>
        </is>
      </c>
      <c r="B5" s="4" t="inlineStr">
        <is>
          <t>Número de usuários</t>
        </is>
      </c>
      <c r="C5" s="4" t="inlineStr">
        <is>
          <t>RFP 2.1: cerca de 4.500 colaboradores</t>
        </is>
      </c>
      <c r="D5" s="4" t="inlineStr">
        <is>
          <t>Q&amp;A #5: considerar 5.000</t>
        </is>
      </c>
      <c r="E5" s="4" t="inlineStr">
        <is>
          <t>PPTX: 6.200 ativos + ~900 das subsidiárias (notas)</t>
        </is>
      </c>
      <c r="F5" s="4" t="inlineStr">
        <is>
          <t>Base de 5.000 (Q&amp;A), com preço unitário por excedente e premissa explícita.</t>
        </is>
      </c>
      <c r="G5" s="4" t="inlineStr">
        <is>
          <t>Alta</t>
        </is>
      </c>
      <c r="H5" s="4" t="inlineStr">
        <is>
          <t>DM-01</t>
        </is>
      </c>
      <c r="I5" s="4" t="inlineStr">
        <is>
          <t>PE-01</t>
        </is>
      </c>
    </row>
    <row r="6">
      <c r="A6" s="4" t="inlineStr">
        <is>
          <t>CF-05</t>
        </is>
      </c>
      <c r="B6" s="4" t="inlineStr">
        <is>
          <t>Pontuação técnica máxima</t>
        </is>
      </c>
      <c r="C6" s="4" t="inlineStr">
        <is>
          <t>RFP 6.2: máximo de 60 pontos</t>
        </is>
      </c>
      <c r="D6" s="4" t="inlineStr">
        <is>
          <t>RFP 6.2 (tabela): critérios somam 65</t>
        </is>
      </c>
      <c r="E6" s="4" t="inlineStr">
        <is>
          <t>RFP 6.3: corte de 70%</t>
        </is>
      </c>
      <c r="F6" s="4" t="inlineStr">
        <is>
          <t>Mirar no corte de 45,5 pts (base 65) e pedir correção.</t>
        </is>
      </c>
      <c r="G6" s="4" t="inlineStr">
        <is>
          <t>Média</t>
        </is>
      </c>
      <c r="H6" s="4" t="inlineStr">
        <is>
          <t>AV-02</t>
        </is>
      </c>
      <c r="I6" s="4" t="inlineStr">
        <is>
          <t>PE-07</t>
        </is>
      </c>
    </row>
    <row r="7">
      <c r="A7" s="4" t="inlineStr">
        <is>
          <t>CF-06</t>
        </is>
      </c>
      <c r="B7" s="4" t="inlineStr">
        <is>
          <t>Data de entrega</t>
        </is>
      </c>
      <c r="C7" s="4" t="inlineStr">
        <is>
          <t>RFP 3.1: 20/11/2026, 18h</t>
        </is>
      </c>
      <c r="D7" s="4" t="inlineStr">
        <is>
          <t>Q&amp;A #1: 27/11/2026, 18h</t>
        </is>
      </c>
      <c r="E7" s="4" t="inlineStr">
        <is>
          <t>—</t>
        </is>
      </c>
      <c r="F7" s="4" t="inlineStr">
        <is>
          <t>Prevalece o Q&amp;A (27/11). Confirmar no portal.</t>
        </is>
      </c>
      <c r="G7" s="4" t="inlineStr">
        <is>
          <t>Baixa (resolvido)</t>
        </is>
      </c>
      <c r="H7" s="4" t="inlineStr">
        <is>
          <t>CR-01</t>
        </is>
      </c>
      <c r="I7" s="4" t="inlineStr">
        <is>
          <t>PE-14</t>
        </is>
      </c>
    </row>
    <row r="8">
      <c r="A8" s="4" t="inlineStr">
        <is>
          <t>CF-07</t>
        </is>
      </c>
      <c r="B8" s="4" t="inlineStr">
        <is>
          <t>Local de trabalho do N1</t>
        </is>
      </c>
      <c r="C8" s="4" t="inlineStr">
        <is>
          <t>Anexo I 5.2: presencial em SP, horário comercial</t>
        </is>
      </c>
      <c r="D8" s="4" t="inlineStr">
        <is>
          <t>Q&amp;A #6: remoto permitido no Brasil</t>
        </is>
      </c>
      <c r="E8" s="4" t="inlineStr">
        <is>
          <t>—</t>
        </is>
      </c>
      <c r="F8" s="4" t="inlineStr">
        <is>
          <t>Prevalece o Q&amp;A (remoto no Brasil).</t>
        </is>
      </c>
      <c r="G8" s="4" t="inlineStr">
        <is>
          <t>Baixa (resolvido)</t>
        </is>
      </c>
      <c r="H8" s="4" t="inlineStr">
        <is>
          <t>EQ-02</t>
        </is>
      </c>
      <c r="I8" s="4" t="inlineStr">
        <is>
          <t>—</t>
        </is>
      </c>
    </row>
    <row r="9">
      <c r="A9" s="4" t="inlineStr">
        <is>
          <t>CF-08</t>
        </is>
      </c>
      <c r="B9" s="4" t="inlineStr">
        <is>
          <t>Subcontratação x SIEM em nuvem</t>
        </is>
      </c>
      <c r="C9" s="4" t="inlineStr">
        <is>
          <t>RFP 7.7: subcontratação vedada</t>
        </is>
      </c>
      <c r="D9" s="4" t="inlineStr">
        <is>
          <t>Anexo I 1.2: SIEM pode ser em nuvem pública</t>
        </is>
      </c>
      <c r="E9" s="4" t="inlineStr">
        <is>
          <t>—</t>
        </is>
      </c>
      <c r="F9" s="4" t="inlineStr">
        <is>
          <t>Pedir confirmação de que nuvem e fabricantes não são subcontratação.</t>
        </is>
      </c>
      <c r="G9" s="4" t="inlineStr">
        <is>
          <t>Alta</t>
        </is>
      </c>
      <c r="H9" s="4" t="inlineStr">
        <is>
          <t>CT-07</t>
        </is>
      </c>
      <c r="I9" s="4" t="inlineStr">
        <is>
          <t>PE-17</t>
        </is>
      </c>
    </row>
    <row r="10">
      <c r="A10" s="4" t="inlineStr">
        <is>
          <t>CF-09</t>
        </is>
      </c>
      <c r="B10" s="4" t="inlineStr">
        <is>
          <t>Escopo formal x workshop</t>
        </is>
      </c>
      <c r="C10" s="4" t="inlineStr">
        <is>
          <t>RFP / Anexo I: sem migração de logs, sem subsidiárias, sem meta de falsos positivos</t>
        </is>
      </c>
      <c r="D10" s="4" t="inlineStr">
        <is>
          <t>PPTX: migração de 24 meses de logs, subsidiárias no escopo, meta de 10% de falsos positivos</t>
        </is>
      </c>
      <c r="E10" s="4" t="inlineStr">
        <is>
          <t>—</t>
        </is>
      </c>
      <c r="F10" s="4" t="inlineStr">
        <is>
          <t>Tratar como opcionais ou expectativas não contratuais até haver formalização via Q&amp;A.</t>
        </is>
      </c>
      <c r="G10" s="4" t="inlineStr">
        <is>
          <t>Alta</t>
        </is>
      </c>
      <c r="H10" s="4" t="inlineStr">
        <is>
          <t>TS-06 / DM-02 / TS-07</t>
        </is>
      </c>
      <c r="I10" s="4" t="inlineStr">
        <is>
          <t>PE-02</t>
        </is>
      </c>
    </row>
    <row r="11">
      <c r="A11" s="4" t="inlineStr">
        <is>
          <t>CF-10</t>
        </is>
      </c>
      <c r="B11" s="4" t="inlineStr">
        <is>
          <t>Critério de pontuação oculto</t>
        </is>
      </c>
      <c r="C11" s="4" t="inlineStr">
        <is>
          <t>RFP 6: só os 4 critérios técnicos e o preço</t>
        </is>
      </c>
      <c r="D11" s="4" t="inlineStr">
        <is>
          <t>Aba oculta 'Pesos': penalidade de -2 pts por não obrigatório 'Não atende'</t>
        </is>
      </c>
      <c r="E11" s="4" t="inlineStr">
        <is>
          <t>—</t>
        </is>
      </c>
      <c r="F11" s="4" t="inlineStr">
        <is>
          <t>Responder 'Atende' em QT-02 e QT-05 e pedir que o critério seja divulgado formalmente.</t>
        </is>
      </c>
      <c r="G11" s="4" t="inlineStr">
        <is>
          <t>Alta</t>
        </is>
      </c>
      <c r="H11" s="4" t="inlineStr">
        <is>
          <t>AV-05</t>
        </is>
      </c>
      <c r="I11" s="4" t="inlineStr">
        <is>
          <t>PE-08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90" customWidth="1" min="3" max="3"/>
    <col width="40" customWidth="1" min="4" max="4"/>
    <col width="10" customWidth="1" min="5" max="5"/>
    <col width="20" customWidth="1" min="6" max="6"/>
    <col width="12" customWidth="1" min="7" max="7"/>
    <col width="40" customWidth="1" min="8" max="8"/>
  </cols>
  <sheetData>
    <row r="1">
      <c r="A1" s="3" t="inlineStr">
        <is>
          <t>ID</t>
        </is>
      </c>
      <c r="B1" s="3" t="inlineStr">
        <is>
          <t>Referência (documento/item)</t>
        </is>
      </c>
      <c r="C1" s="3" t="inlineStr">
        <is>
          <t>Pergunta proposta (texto para envio)</t>
        </is>
      </c>
      <c r="D1" s="3" t="inlineStr">
        <is>
          <t>Justificativa interna</t>
        </is>
      </c>
      <c r="E1" s="3" t="inlineStr">
        <is>
          <t>Prioridade</t>
        </is>
      </c>
      <c r="F1" s="3" t="inlineStr">
        <is>
          <t>Área</t>
        </is>
      </c>
      <c r="G1" s="3" t="inlineStr">
        <is>
          <t>Status</t>
        </is>
      </c>
      <c r="H1" s="3" t="inlineStr">
        <is>
          <t>Resposta do banco</t>
        </is>
      </c>
    </row>
    <row r="2">
      <c r="A2" s="4" t="inlineStr">
        <is>
          <t>PE-01</t>
        </is>
      </c>
      <c r="B2" s="4" t="inlineStr">
        <is>
          <t>RFP 2.1; Q&amp;A #5; Apresentação do workshop (slides 2 e 5)</t>
        </is>
      </c>
      <c r="C2" s="4" t="inlineStr">
        <is>
          <t>No Q&amp;A #5, o Banco orienta considerar 5.000 usuários. A apresentação do workshop informa 6.200 usuários ativos e a inclusão das subsidiárias Horizonte Seguros e Horizonte Investimentos (~900 usuários). Pedimos confirmar: (a) o número de usuários para dimensionamento; (b) a definição de 'usuário' (colaboradores, terceiros, contas de serviço); (c) se as subsidiárias fazem parte do escopo e, nesse caso, se serão partes ou intervenientes do contrato. Pedimos ainda (d) qual a ordem de precedência entre RFP, anexos, respostas aos esclarecimentos e materiais do workshop.</t>
        </is>
      </c>
      <c r="D2" s="4" t="inlineStr">
        <is>
          <t>Quatro números diferentes de usuários; impacto direto no preço e no escopo contratual.</t>
        </is>
      </c>
      <c r="E2" s="4" t="inlineStr">
        <is>
          <t>Alta</t>
        </is>
      </c>
      <c r="F2" s="4" t="inlineStr">
        <is>
          <t>Pricing / Jurídico</t>
        </is>
      </c>
      <c r="G2" s="4" t="inlineStr">
        <is>
          <t>A enviar</t>
        </is>
      </c>
      <c r="H2" s="4" t="inlineStr"/>
    </row>
    <row r="3">
      <c r="A3" s="4" t="inlineStr">
        <is>
          <t>PE-02</t>
        </is>
      </c>
      <c r="B3" s="4" t="inlineStr">
        <is>
          <t>Apresentação do workshop (slides 4 e 5)</t>
        </is>
      </c>
      <c r="C3" s="4" t="inlineStr">
        <is>
          <t>A apresentação menciona (a) migração de 24 meses de logs históricos do SIEM legado, (b) meta de 10% de falsos positivos no primeiro trimestre e (c) visão unificada de riscos para a diretoria. Esses itens fazem parte do escopo obrigatório e/ou de SLAs contratuais? Se a migração estiver no escopo, pedimos informar o volume (TB), o formato e o produto do SIEM legado e se o fornecedor atual cooperará com a extração.</t>
        </is>
      </c>
      <c r="D3" s="4" t="inlineStr">
        <is>
          <t>Escopo não formalizado com custo relevante.</t>
        </is>
      </c>
      <c r="E3" s="4" t="inlineStr">
        <is>
          <t>Alta</t>
        </is>
      </c>
      <c r="F3" s="4" t="inlineStr">
        <is>
          <t>Pricing / Pré-vendas</t>
        </is>
      </c>
      <c r="G3" s="4" t="inlineStr">
        <is>
          <t>A enviar</t>
        </is>
      </c>
      <c r="H3" s="4" t="inlineStr"/>
    </row>
    <row r="4">
      <c r="A4" s="4" t="inlineStr">
        <is>
          <t>PE-03</t>
        </is>
      </c>
      <c r="B4" s="4" t="inlineStr">
        <is>
          <t>RFP 3.1; Apresentação do workshop (slide 3)</t>
        </is>
      </c>
      <c r="C4" s="4" t="inlineStr">
        <is>
          <t>Qual a data prevista de assinatura do contrato? Considerando que o SIEM legado se encerra em 31/01/2027 sem possibilidade de prorrogação e que o início dos serviços está previsto para 01/02/2027, há plano de contingência caso a assinatura ocorra com antecedência insuficiente para a transição?</t>
        </is>
      </c>
      <c r="D4" s="4" t="inlineStr">
        <is>
          <t>Go-live sem folga.</t>
        </is>
      </c>
      <c r="E4" s="4" t="inlineStr">
        <is>
          <t>Alta</t>
        </is>
      </c>
      <c r="F4" s="4" t="inlineStr">
        <is>
          <t>Pré-vendas / Jurídico</t>
        </is>
      </c>
      <c r="G4" s="4" t="inlineStr">
        <is>
          <t>A enviar</t>
        </is>
      </c>
      <c r="H4" s="4" t="inlineStr"/>
    </row>
    <row r="5">
      <c r="A5" s="4" t="inlineStr">
        <is>
          <t>PE-04</t>
        </is>
      </c>
      <c r="B5" s="4" t="inlineStr">
        <is>
          <t>RFP 3.2; Anexo I 4.1, 4.2 e 6.2</t>
        </is>
      </c>
      <c r="C5" s="4" t="inlineStr">
        <is>
          <t>O RFP (item 3.2) fixa o prazo de transição em 30 dias corridos e o Anexo I (item 4.1) em 60 dias corridos, ambos a contar da assinatura. Qual prazo prevalece? Os prazos de transição serão suspensos enquanto estiverem pendentes as obrigações do Contratante (documentação técnica em até 10 dias, acesso VPN)? Qual a duração esperada da operação em paralelo (item 4.2)?</t>
        </is>
      </c>
      <c r="D5" s="4" t="inlineStr">
        <is>
          <t>Conflito direto entre documentos.</t>
        </is>
      </c>
      <c r="E5" s="4" t="inlineStr">
        <is>
          <t>Alta</t>
        </is>
      </c>
      <c r="F5" s="4" t="inlineStr">
        <is>
          <t>Pré-vendas / Jurídico</t>
        </is>
      </c>
      <c r="G5" s="4" t="inlineStr">
        <is>
          <t>A enviar</t>
        </is>
      </c>
      <c r="H5" s="4" t="inlineStr"/>
    </row>
    <row r="6">
      <c r="A6" s="4" t="inlineStr">
        <is>
          <t>PE-05</t>
        </is>
      </c>
      <c r="B6" s="4" t="inlineStr">
        <is>
          <t>RFP 4.3; numeração dos anexos</t>
        </is>
      </c>
      <c r="C6" s="4" t="inlineStr">
        <is>
          <t>Pedimos disponibilizar o Anexo IV — Planilha de Preços, que não consta entre os documentos recebidos, e informar se existe Anexo II (ex.: minuta de contrato) e onde pode ser obtido. Haverá minuta contratual com cláusulas de proteção de dados (LGPD) e de devolução de dados ao término do contrato?</t>
        </is>
      </c>
      <c r="D6" s="4" t="inlineStr">
        <is>
          <t>Documentos ausentes impedem o pricing e a análise jurídica.</t>
        </is>
      </c>
      <c r="E6" s="4" t="inlineStr">
        <is>
          <t>Alta</t>
        </is>
      </c>
      <c r="F6" s="4" t="inlineStr">
        <is>
          <t>Pricing / Jurídico</t>
        </is>
      </c>
      <c r="G6" s="4" t="inlineStr">
        <is>
          <t>A enviar</t>
        </is>
      </c>
      <c r="H6" s="4" t="inlineStr"/>
    </row>
    <row r="7">
      <c r="A7" s="4" t="inlineStr">
        <is>
          <t>PE-06</t>
        </is>
      </c>
      <c r="B7" s="4" t="inlineStr">
        <is>
          <t>Anexo I 1.2; Anexo III; RFP 1.2; QT-04</t>
        </is>
      </c>
      <c r="C7" s="4" t="inlineStr">
        <is>
          <t>O Anexo I (item 1.2) permite SIEM em nuvem pública em 'região de livre escolha do proponente', enquanto o Anexo III exige que todos os dados, inclusive logs, sejam armazenados e processados exclusivamente em território nacional. Confirmam que prevalece o Anexo III, ou seja, que a região de nuvem (inclusive DR e backup) deverá estar no Brasil?</t>
        </is>
      </c>
      <c r="D7" s="4" t="inlineStr">
        <is>
          <t>Conflito com risco de inabilitação.</t>
        </is>
      </c>
      <c r="E7" s="4" t="inlineStr">
        <is>
          <t>Alta</t>
        </is>
      </c>
      <c r="F7" s="4" t="inlineStr">
        <is>
          <t>Jurídico / Pré-vendas</t>
        </is>
      </c>
      <c r="G7" s="4" t="inlineStr">
        <is>
          <t>A enviar</t>
        </is>
      </c>
      <c r="H7" s="4" t="inlineStr"/>
    </row>
    <row r="8">
      <c r="A8" s="4" t="inlineStr">
        <is>
          <t>PE-07</t>
        </is>
      </c>
      <c r="B8" s="4" t="inlineStr">
        <is>
          <t>RFP 6.1, 6.2 e 6.3</t>
        </is>
      </c>
      <c r="C8" s="4" t="inlineStr">
        <is>
          <t>O item 6.2 indica Nota Técnica máxima de 60 pontos, mas os critérios listados somam 65 pontos. Qual o valor correto e, consequentemente, a nota mínima do item 6.3? Pedimos também a fórmula de cálculo da Nota de Preço e os subcritérios/rubrica de cada critério técnico.</t>
        </is>
      </c>
      <c r="D8" s="4" t="inlineStr">
        <is>
          <t>Inconsistência aritmética; impacta a nota de corte.</t>
        </is>
      </c>
      <c r="E8" s="4" t="inlineStr">
        <is>
          <t>Alta</t>
        </is>
      </c>
      <c r="F8" s="4" t="inlineStr">
        <is>
          <t>Bid</t>
        </is>
      </c>
      <c r="G8" s="4" t="inlineStr">
        <is>
          <t>A enviar</t>
        </is>
      </c>
      <c r="H8" s="4" t="inlineStr"/>
    </row>
    <row r="9">
      <c r="A9" s="4" t="inlineStr">
        <is>
          <t>PE-08</t>
        </is>
      </c>
      <c r="B9" s="4" t="inlineStr">
        <is>
          <t>Questionário Técnico; RFP 6</t>
        </is>
      </c>
      <c r="C9" s="4" t="inlineStr">
        <is>
          <t>O Questionário Técnico contém pesos por requisito e regra de redução de 2 pontos na Nota Técnica para requisitos não obrigatórios respondidos como 'Não atende'. Pedimos confirmar se essa regra se aplica, como os pesos são utilizados na Nota Técnica e qual o tratamento de respostas 'Parcial'.</t>
        </is>
      </c>
      <c r="D9" s="4" t="inlineStr">
        <is>
          <t>Critério de pontuação não divulgado no RFP. (Atenção: avaliar com o jurídico/comercial a conveniência de revelar que a aba oculta foi vista.)</t>
        </is>
      </c>
      <c r="E9" s="4" t="inlineStr">
        <is>
          <t>Média</t>
        </is>
      </c>
      <c r="F9" s="4" t="inlineStr">
        <is>
          <t>Bid / Jurídico</t>
        </is>
      </c>
      <c r="G9" s="4" t="inlineStr">
        <is>
          <t>A enviar</t>
        </is>
      </c>
      <c r="H9" s="4" t="inlineStr"/>
    </row>
    <row r="10">
      <c r="A10" s="4" t="inlineStr">
        <is>
          <t>PE-09</t>
        </is>
      </c>
      <c r="B10" s="4" t="inlineStr">
        <is>
          <t>Anexo I 1.3 e 1.6; QT-03</t>
        </is>
      </c>
      <c r="C10" s="4" t="inlineStr">
        <is>
          <t>O item 1.3 exige retenção de logs por no mínimo 12 meses e o item 1.6 por 5 anos para auditoria. Entendemos que 12 meses correspondem à retenção online (pesquisável) e 5 anos à retenção em arquivo. Está correto? Os 5 anos contam durante a vigência ou após o término? Qual o tempo de recuperação esperado dos logs arquivados e qual a destinação dos logs ao final do contrato?</t>
        </is>
      </c>
      <c r="D10" s="4" t="inlineStr">
        <is>
          <t>Conflito interno com grande impacto no armazenamento.</t>
        </is>
      </c>
      <c r="E10" s="4" t="inlineStr">
        <is>
          <t>Alta</t>
        </is>
      </c>
      <c r="F10" s="4" t="inlineStr">
        <is>
          <t>Pricing / Jurídico</t>
        </is>
      </c>
      <c r="G10" s="4" t="inlineStr">
        <is>
          <t>A enviar</t>
        </is>
      </c>
      <c r="H10" s="4" t="inlineStr"/>
    </row>
    <row r="11">
      <c r="A11" s="4" t="inlineStr">
        <is>
          <t>PE-10</t>
        </is>
      </c>
      <c r="B11" s="4" t="inlineStr">
        <is>
          <t>Anexo I 1.4; Q&amp;A #3</t>
        </is>
      </c>
      <c r="C11" s="4" t="inlineStr">
        <is>
          <t>Considerando que a volumetria (EPS) só será informada ao vencedor (Q&amp;A #3), pedimos ao menos uma faixa estimada de EPS e GB/dia, e a definição de 'ativos relevantes' (quantidade e tipos de fontes: servidores, estações, rede, nuvem, aplicações). Será aceita proposta com faixa de volumetria contratada e preço unitário por excedente?</t>
        </is>
      </c>
      <c r="D11" s="4" t="inlineStr">
        <is>
          <t>Sem volumetria, não dá para precificar o SIEM com segurança.</t>
        </is>
      </c>
      <c r="E11" s="4" t="inlineStr">
        <is>
          <t>Alta</t>
        </is>
      </c>
      <c r="F11" s="4" t="inlineStr">
        <is>
          <t>Pricing</t>
        </is>
      </c>
      <c r="G11" s="4" t="inlineStr">
        <is>
          <t>A enviar</t>
        </is>
      </c>
      <c r="H11" s="4" t="inlineStr"/>
    </row>
    <row r="12">
      <c r="A12" s="4" t="inlineStr">
        <is>
          <t>PE-11</t>
        </is>
      </c>
      <c r="B12" s="4" t="inlineStr">
        <is>
          <t>Anexo I 1.5 e 3; RFP 2.1</t>
        </is>
      </c>
      <c r="C12" s="4" t="inlineStr">
        <is>
          <t>(a) A resposta a incidentes inclui atuação presencial e/ou análise forense? Há limite de horas ou incidentes? (b) Os serviços de IAM incluem o fornecimento de ferramentas (IGA, MFA, PAM) ou apenas a operação sobre a infraestrutura do Banco (Active Directory)? (c) Qual o número de contas privilegiadas e de sistemas-alvo do ciclo de vida? (d) Qual evento dispara a contagem das 24 horas para revogação de acessos?</t>
        </is>
      </c>
      <c r="D12" s="4" t="inlineStr">
        <is>
          <t>Limites de escopo do IR e do IAM.</t>
        </is>
      </c>
      <c r="E12" s="4" t="inlineStr">
        <is>
          <t>Alta</t>
        </is>
      </c>
      <c r="F12" s="4" t="inlineStr">
        <is>
          <t>Pré-vendas / Pricing</t>
        </is>
      </c>
      <c r="G12" s="4" t="inlineStr">
        <is>
          <t>A enviar</t>
        </is>
      </c>
      <c r="H12" s="4" t="inlineStr"/>
    </row>
    <row r="13">
      <c r="A13" s="4" t="inlineStr">
        <is>
          <t>PE-12</t>
        </is>
      </c>
      <c r="B13" s="4" t="inlineStr">
        <is>
          <t>Anexo I 2.1 a 2.4</t>
        </is>
      </c>
      <c r="C13" s="4" t="inlineStr">
        <is>
          <t>Pedimos disponibilizar a matriz de classificação de criticidade do Contratante (item 2.4) e definir o marco inicial do SLA de 15 minutos. Haverá janelas de manutenção programada excluídas do cálculo de disponibilidade de 99,9%?</t>
        </is>
      </c>
      <c r="D13" s="4" t="inlineStr">
        <is>
          <t>O Contratante controla o volume de SLAs e de multas.</t>
        </is>
      </c>
      <c r="E13" s="4" t="inlineStr">
        <is>
          <t>Média</t>
        </is>
      </c>
      <c r="F13" s="4" t="inlineStr">
        <is>
          <t>Pré-vendas / Jurídico</t>
        </is>
      </c>
      <c r="G13" s="4" t="inlineStr">
        <is>
          <t>A enviar</t>
        </is>
      </c>
      <c r="H13" s="4" t="inlineStr"/>
    </row>
    <row r="14">
      <c r="A14" s="4" t="inlineStr">
        <is>
          <t>PE-13</t>
        </is>
      </c>
      <c r="B14" s="4" t="inlineStr">
        <is>
          <t>Questionário (aba Instruções); RFP 4.4</t>
        </is>
      </c>
      <c r="C14" s="4" t="inlineStr">
        <is>
          <t>A aba de Instruções do questionário informa que 'o preenchimento de todas as abas é obrigatório'. Confirmam que apenas a aba 'Questionário Técnico' deve ser preenchida pelo proponente?</t>
        </is>
      </c>
      <c r="D14" s="4" t="inlineStr">
        <is>
          <t>Evitar desclassificação por formalidade.</t>
        </is>
      </c>
      <c r="E14" s="4" t="inlineStr">
        <is>
          <t>Média</t>
        </is>
      </c>
      <c r="F14" s="4" t="inlineStr">
        <is>
          <t>Bid</t>
        </is>
      </c>
      <c r="G14" s="4" t="inlineStr">
        <is>
          <t>A enviar</t>
        </is>
      </c>
      <c r="H14" s="4" t="inlineStr"/>
    </row>
    <row r="15">
      <c r="A15" s="4" t="inlineStr">
        <is>
          <t>PE-14</t>
        </is>
      </c>
      <c r="B15" s="4" t="inlineStr">
        <is>
          <t>RFP 3.1; Q&amp;A #1</t>
        </is>
      </c>
      <c r="C15" s="4" t="inlineStr">
        <is>
          <t>Confirmam que o portal de fornecedores e o cronograma oficial já refletem a nova data de entrega (27/11/2026, até as 18h)? Será publicada versão revisada do RFP?</t>
        </is>
      </c>
      <c r="D15" s="4" t="inlineStr">
        <is>
          <t>Alinhamento formal da prorrogação.</t>
        </is>
      </c>
      <c r="E15" s="4" t="inlineStr">
        <is>
          <t>Baixa</t>
        </is>
      </c>
      <c r="F15" s="4" t="inlineStr">
        <is>
          <t>Bid</t>
        </is>
      </c>
      <c r="G15" s="4" t="inlineStr">
        <is>
          <t>A enviar</t>
        </is>
      </c>
      <c r="H15" s="4" t="inlineStr"/>
    </row>
    <row r="16">
      <c r="A16" s="4" t="inlineStr">
        <is>
          <t>PE-15</t>
        </is>
      </c>
      <c r="B16" s="4" t="inlineStr">
        <is>
          <t>RFP 5.1b e 5.2</t>
        </is>
      </c>
      <c r="C16" s="4" t="inlineStr">
        <is>
          <t>Para fins do item 5.1b, atestados de serviços prestados a seguradoras, cooperativas de crédito e instituições de pagamento serão aceitos como 'instituições financeiras'? Quais certificações e quantidades mínimas atendem ao item 5.2 ('equipe devidamente certificada')?</t>
        </is>
      </c>
      <c r="D16" s="4" t="inlineStr">
        <is>
          <t>Critérios de habilitação subjetivos.</t>
        </is>
      </c>
      <c r="E16" s="4" t="inlineStr">
        <is>
          <t>Média</t>
        </is>
      </c>
      <c r="F16" s="4" t="inlineStr">
        <is>
          <t>Bid</t>
        </is>
      </c>
      <c r="G16" s="4" t="inlineStr">
        <is>
          <t>A enviar</t>
        </is>
      </c>
      <c r="H16" s="4" t="inlineStr"/>
    </row>
    <row r="17">
      <c r="A17" s="4" t="inlineStr">
        <is>
          <t>PE-16</t>
        </is>
      </c>
      <c r="B17" s="4" t="inlineStr">
        <is>
          <t>RFP 7.3 a 7.6; Q&amp;A #4</t>
        </is>
      </c>
      <c r="C17" s="4" t="inlineStr">
        <is>
          <t>Sem prejuízo da resposta ao Q&amp;A #4, pedimos reconsiderar: (a) teto global para multas de SLA e gradação conforme a gravidade; (b) limitação da responsabilidade do item 7.5 aos danos diretos causados por culpa comprovada da Contratada, até um múltiplo do valor anual; (c) valor mínimo da apólice de seguro cyber do item 7.6; (d) prazo e critério do aceite da nota fiscal (item 7.3).</t>
        </is>
      </c>
      <c r="D17" s="4" t="inlineStr">
        <is>
          <t>Riscos contratuais críticos (possível no-go).</t>
        </is>
      </c>
      <c r="E17" s="4" t="inlineStr">
        <is>
          <t>Alta</t>
        </is>
      </c>
      <c r="F17" s="4" t="inlineStr">
        <is>
          <t>Jurídico</t>
        </is>
      </c>
      <c r="G17" s="4" t="inlineStr">
        <is>
          <t>A enviar</t>
        </is>
      </c>
      <c r="H17" s="4" t="inlineStr"/>
    </row>
    <row r="18">
      <c r="A18" s="4" t="inlineStr">
        <is>
          <t>PE-17</t>
        </is>
      </c>
      <c r="B18" s="4" t="inlineStr">
        <is>
          <t>RFP 7.7; Anexo I 1.2</t>
        </is>
      </c>
      <c r="C18" s="4" t="inlineStr">
        <is>
          <t>A contratação de provedor de nuvem pública (IaaS/SaaS), licenças e suporte de fabricantes de software e feeds de threat intelligence configura subcontratação vedada pelo item 7.7?</t>
        </is>
      </c>
      <c r="D18" s="4" t="inlineStr">
        <is>
          <t>Conflito prático com o próprio Anexo I.</t>
        </is>
      </c>
      <c r="E18" s="4" t="inlineStr">
        <is>
          <t>Alta</t>
        </is>
      </c>
      <c r="F18" s="4" t="inlineStr">
        <is>
          <t>Jurídico</t>
        </is>
      </c>
      <c r="G18" s="4" t="inlineStr">
        <is>
          <t>A enviar</t>
        </is>
      </c>
      <c r="H18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0" customWidth="1" min="2" max="2"/>
    <col width="18" customWidth="1" min="3" max="3"/>
    <col width="45" customWidth="1" min="4" max="4"/>
  </cols>
  <sheetData>
    <row r="1">
      <c r="A1" s="3" t="inlineStr">
        <is>
          <t>Data</t>
        </is>
      </c>
      <c r="B1" s="3" t="inlineStr">
        <is>
          <t>Evento</t>
        </is>
      </c>
      <c r="C1" s="3" t="inlineStr">
        <is>
          <t>Fonte</t>
        </is>
      </c>
      <c r="D1" s="3" t="inlineStr">
        <is>
          <t>Observação</t>
        </is>
      </c>
    </row>
    <row r="2">
      <c r="A2" s="4" t="inlineStr">
        <is>
          <t>15/10/2026</t>
        </is>
      </c>
      <c r="B2" s="4" t="inlineStr">
        <is>
          <t>Publicação do RFP v1.0</t>
        </is>
      </c>
      <c r="C2" s="4" t="inlineStr">
        <is>
          <t>RFP 3.1</t>
        </is>
      </c>
      <c r="D2" s="4" t="inlineStr">
        <is>
          <t>Realizado</t>
        </is>
      </c>
    </row>
    <row r="3">
      <c r="A3" s="4" t="inlineStr">
        <is>
          <t>18/10/2026</t>
        </is>
      </c>
      <c r="B3" s="4" t="inlineStr">
        <is>
          <t>Data desta análise</t>
        </is>
      </c>
      <c r="C3" s="4" t="inlineStr">
        <is>
          <t>—</t>
        </is>
      </c>
      <c r="D3" s="4" t="inlineStr">
        <is>
          <t>Hoje</t>
        </is>
      </c>
    </row>
    <row r="4">
      <c r="A4" s="4" t="inlineStr">
        <is>
          <t>22/10/2026</t>
        </is>
      </c>
      <c r="B4" s="4" t="inlineStr">
        <is>
          <t>Workshop de apresentação do ambiente</t>
        </is>
      </c>
      <c r="C4" s="4" t="inlineStr">
        <is>
          <t>RFP 3.1; PPTX</t>
        </is>
      </c>
      <c r="D4" s="4" t="inlineStr">
        <is>
          <t>Levar as perguntas</t>
        </is>
      </c>
    </row>
    <row r="5">
      <c r="A5" s="4" t="inlineStr">
        <is>
          <t>05/11/2026</t>
        </is>
      </c>
      <c r="B5" s="4" t="inlineStr">
        <is>
          <t>Prazo final para envio de perguntas</t>
        </is>
      </c>
      <c r="C5" s="4" t="inlineStr">
        <is>
          <t>RFP 3.1</t>
        </is>
      </c>
      <c r="D5" s="4" t="inlineStr">
        <is>
          <t>CRÍTICO: enviar PE-01 a PE-17</t>
        </is>
      </c>
    </row>
    <row r="6">
      <c r="A6" s="4" t="inlineStr">
        <is>
          <t>12/11/2026</t>
        </is>
      </c>
      <c r="B6" s="4" t="inlineStr">
        <is>
          <t>Divulgação das respostas (data do Q&amp;A Rodada 1 recebido)</t>
        </is>
      </c>
      <c r="C6" s="4" t="inlineStr">
        <is>
          <t>RFP 3.1; Q&amp;A</t>
        </is>
      </c>
      <c r="D6" s="4" t="inlineStr">
        <is>
          <t>Ver observação sobre a data do Q&amp;A</t>
        </is>
      </c>
    </row>
    <row r="7">
      <c r="A7" s="4" t="inlineStr">
        <is>
          <t>20/11/2026</t>
        </is>
      </c>
      <c r="B7" s="4" t="inlineStr">
        <is>
          <t>Entrega das propostas (data ORIGINAL; substituída)</t>
        </is>
      </c>
      <c r="C7" s="4" t="inlineStr">
        <is>
          <t>RFP 3.1</t>
        </is>
      </c>
      <c r="D7" s="4" t="inlineStr">
        <is>
          <t>Substituída pelo Q&amp;A #1</t>
        </is>
      </c>
    </row>
    <row r="8">
      <c r="A8" s="4" t="inlineStr">
        <is>
          <t>27/11/2026 18h</t>
        </is>
      </c>
      <c r="B8" s="4" t="inlineStr">
        <is>
          <t>Entrega das propostas (PRORROGADA)</t>
        </is>
      </c>
      <c r="C8" s="4" t="inlineStr">
        <is>
          <t>Q&amp;A #1</t>
        </is>
      </c>
      <c r="D8" s="4" t="inlineStr">
        <is>
          <t>Data vigente</t>
        </is>
      </c>
    </row>
    <row r="9">
      <c r="A9" s="4" t="inlineStr">
        <is>
          <t>31/01/2027</t>
        </is>
      </c>
      <c r="B9" s="4" t="inlineStr">
        <is>
          <t>Fim do contrato do SIEM legado (sem prorrogação)</t>
        </is>
      </c>
      <c r="C9" s="4" t="inlineStr">
        <is>
          <t>PPTX slide 3</t>
        </is>
      </c>
      <c r="D9" s="4" t="inlineStr">
        <is>
          <t>Limite físico para migração de logs e paralelo</t>
        </is>
      </c>
    </row>
    <row r="10">
      <c r="A10" s="4" t="inlineStr">
        <is>
          <t>01/02/2027</t>
        </is>
      </c>
      <c r="B10" s="4" t="inlineStr">
        <is>
          <t>Início previsto dos serviços</t>
        </is>
      </c>
      <c r="C10" s="4" t="inlineStr">
        <is>
          <t>RFP 3.1</t>
        </is>
      </c>
      <c r="D10" s="4" t="inlineStr">
        <is>
          <t>Go-live</t>
        </is>
      </c>
    </row>
    <row r="11">
      <c r="A11" s="4" t="inlineStr">
        <is>
          <t>Assinatura + 10 dias</t>
        </is>
      </c>
      <c r="B11" s="4" t="inlineStr">
        <is>
          <t>Contratante entrega documentação técnica</t>
        </is>
      </c>
      <c r="C11" s="4" t="inlineStr">
        <is>
          <t>Anexo I 6.2</t>
        </is>
      </c>
      <c r="D11" s="4" t="inlineStr">
        <is>
          <t>Obrigação do banco</t>
        </is>
      </c>
    </row>
    <row r="12">
      <c r="A12" s="4" t="inlineStr">
        <is>
          <t>Assinatura + 30 dias</t>
        </is>
      </c>
      <c r="B12" s="4" t="inlineStr">
        <is>
          <t>Fim da transição (RFP)</t>
        </is>
      </c>
      <c r="C12" s="4" t="inlineStr">
        <is>
          <t>RFP 3.2</t>
        </is>
      </c>
      <c r="D12" s="4" t="inlineStr">
        <is>
          <t>Conflito</t>
        </is>
      </c>
    </row>
    <row r="13">
      <c r="A13" s="4" t="inlineStr">
        <is>
          <t>Assinatura + 60 dias</t>
        </is>
      </c>
      <c r="B13" s="4" t="inlineStr">
        <is>
          <t>Fim da transição (Anexo I)</t>
        </is>
      </c>
      <c r="C13" s="4" t="inlineStr">
        <is>
          <t>Anexo I 4.1</t>
        </is>
      </c>
      <c r="D13" s="4" t="inlineStr">
        <is>
          <t>Conflito</t>
        </is>
      </c>
    </row>
    <row r="14">
      <c r="A14" s="4" t="inlineStr">
        <is>
          <t>Assinatura até 02/01/2027</t>
        </is>
      </c>
      <c r="B14" s="4" t="inlineStr">
        <is>
          <t>Data-limite de assinatura para 30 dias de transição até 01/02/2027</t>
        </is>
      </c>
      <c r="C14" s="4" t="inlineStr">
        <is>
          <t>Derivado</t>
        </is>
      </c>
      <c r="D14" s="4" t="inlineStr">
        <is>
          <t>Calculado</t>
        </is>
      </c>
    </row>
    <row r="15">
      <c r="A15" s="4" t="inlineStr">
        <is>
          <t>Assinatura até 03/12/2026</t>
        </is>
      </c>
      <c r="B15" s="4" t="inlineStr">
        <is>
          <t>Data-limite de assinatura para 60 dias de transição até 01/02/2027</t>
        </is>
      </c>
      <c r="C15" s="4" t="inlineStr">
        <is>
          <t>Derivado</t>
        </is>
      </c>
      <c r="D15" s="4" t="inlineStr">
        <is>
          <t>Calculado: só 6 dias após a entrega das propostas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zoomScale="90" workbookViewId="0">
      <selection activeCell="A1" sqref="A1"/>
    </sheetView>
  </sheetViews>
  <sheetFormatPr baseColWidth="8" defaultRowHeight="15"/>
  <cols>
    <col width="75" customWidth="1" min="1" max="1"/>
    <col width="18" customWidth="1" min="2" max="2"/>
    <col width="24" customWidth="1" min="3" max="3"/>
  </cols>
  <sheetData>
    <row r="1">
      <c r="A1" s="13" t="inlineStr">
        <is>
          <t>Simulação da Nota Técnica (RFP 6.2/6.3 + regra oculta da aba 'Pesos')</t>
        </is>
      </c>
    </row>
    <row r="3">
      <c r="A3" s="9" t="inlineStr">
        <is>
          <t>Critério (RFP 6.2)</t>
        </is>
      </c>
      <c r="B3" s="9" t="inlineStr">
        <is>
          <t>Pontuação máxima</t>
        </is>
      </c>
      <c r="C3" s="9" t="inlineStr">
        <is>
          <t>Nota estimada (preencher)</t>
        </is>
      </c>
    </row>
    <row r="4">
      <c r="A4" s="10" t="inlineStr">
        <is>
          <t>Metodologia de operação do SOC</t>
        </is>
      </c>
      <c r="B4" s="10" t="n">
        <v>20</v>
      </c>
      <c r="C4" s="14" t="n">
        <v>16</v>
      </c>
    </row>
    <row r="5">
      <c r="A5" s="10" t="inlineStr">
        <is>
          <t>Qualificação da equipe</t>
        </is>
      </c>
      <c r="B5" s="10" t="n">
        <v>20</v>
      </c>
      <c r="C5" s="14" t="n">
        <v>16</v>
      </c>
    </row>
    <row r="6">
      <c r="A6" s="10" t="inlineStr">
        <is>
          <t>Ferramentas e tecnologia</t>
        </is>
      </c>
      <c r="B6" s="10" t="n">
        <v>15</v>
      </c>
      <c r="C6" s="14" t="n">
        <v>12</v>
      </c>
    </row>
    <row r="7">
      <c r="A7" s="10" t="inlineStr">
        <is>
          <t>Plano de transição</t>
        </is>
      </c>
      <c r="B7" s="10" t="n">
        <v>10</v>
      </c>
      <c r="C7" s="14" t="n">
        <v>8</v>
      </c>
    </row>
    <row r="8">
      <c r="A8" s="2" t="inlineStr">
        <is>
          <t>Soma dos critérios</t>
        </is>
      </c>
      <c r="B8" s="2">
        <f>SUM(B4:B7)</f>
        <v/>
      </c>
      <c r="C8">
        <f>SUM(C4:C7)</f>
        <v/>
      </c>
    </row>
    <row r="9">
      <c r="A9" t="inlineStr">
        <is>
          <t>Máximo declarado no RFP 6.2</t>
        </is>
      </c>
      <c r="B9" t="n">
        <v>60</v>
      </c>
    </row>
    <row r="10">
      <c r="A10" t="inlineStr">
        <is>
          <t>Diferença (inconsistência)</t>
        </is>
      </c>
      <c r="B10">
        <f>B8-B9</f>
        <v/>
      </c>
    </row>
    <row r="12">
      <c r="A12" t="inlineStr">
        <is>
          <t>Penalidade oculta: nº de não obrigatórios respondidos 'Não atende' (QT-02, QT-05)</t>
        </is>
      </c>
      <c r="B12" s="15" t="n">
        <v>0</v>
      </c>
    </row>
    <row r="13">
      <c r="A13" t="inlineStr">
        <is>
          <t>Pontos por item (aba 'Pesos')</t>
        </is>
      </c>
      <c r="B13" t="n">
        <v>2</v>
      </c>
    </row>
    <row r="14">
      <c r="A14" s="2" t="inlineStr">
        <is>
          <t>Nota técnica estimada após penalidade</t>
        </is>
      </c>
      <c r="B14" s="2">
        <f>C8-B12*B13</f>
        <v/>
      </c>
    </row>
    <row r="16">
      <c r="A16" t="inlineStr">
        <is>
          <t>Nota de corte (70%) com base 60</t>
        </is>
      </c>
      <c r="B16">
        <f>0.7*B9</f>
        <v/>
      </c>
    </row>
    <row r="17">
      <c r="A17" t="inlineStr">
        <is>
          <t>Nota de corte (70%) com base 65</t>
        </is>
      </c>
      <c r="B17">
        <f>0.7*B8</f>
        <v/>
      </c>
    </row>
    <row r="18">
      <c r="A18" s="2" t="inlineStr">
        <is>
          <t>Situação no cenário mais exigente (base 65)</t>
        </is>
      </c>
      <c r="B18" s="2">
        <f>IF(B14&gt;=B17,"Acima do corte","DESCLASSIFICA")</f>
        <v/>
      </c>
    </row>
    <row r="19">
      <c r="A19" t="inlineStr">
        <is>
          <t>Folga sobre o corte mais exigente (pts)</t>
        </is>
      </c>
      <c r="B19">
        <f>B14-B17</f>
        <v/>
      </c>
    </row>
    <row r="21">
      <c r="A21" t="inlineStr">
        <is>
          <t>Composição da nota final (RFP 6.1): Técnica 60% + Preço 40%. A fórmula da Nota de Preço não foi informada (PE-07).</t>
        </is>
      </c>
    </row>
    <row r="22">
      <c r="A22" t="inlineStr">
        <is>
          <t>Células amarelas são entradas editáveis.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5" customWidth="1" min="2" max="2"/>
    <col width="11" customWidth="1" min="3" max="3"/>
    <col width="12" customWidth="1" min="4" max="4"/>
    <col width="18" customWidth="1" min="5" max="5"/>
    <col width="50" customWidth="1" min="6" max="6"/>
    <col width="55" customWidth="1" min="7" max="7"/>
    <col width="14" customWidth="1" min="8" max="8"/>
  </cols>
  <sheetData>
    <row r="1">
      <c r="A1" s="3" t="inlineStr">
        <is>
          <t>ID</t>
        </is>
      </c>
      <c r="B1" s="3" t="inlineStr">
        <is>
          <t>Requisito</t>
        </is>
      </c>
      <c r="C1" s="3" t="inlineStr">
        <is>
          <t>Obrigatório</t>
        </is>
      </c>
      <c r="D1" s="3" t="inlineStr">
        <is>
          <t>Peso (aba oculta)</t>
        </is>
      </c>
      <c r="E1" s="3" t="inlineStr">
        <is>
          <t>Penalidade oculta</t>
        </is>
      </c>
      <c r="F1" s="3" t="inlineStr">
        <is>
          <t>Resposta recomendada</t>
        </is>
      </c>
      <c r="G1" s="3" t="inlineStr">
        <is>
          <t>Justificativa</t>
        </is>
      </c>
      <c r="H1" s="3" t="inlineStr">
        <is>
          <t>Ref. matriz</t>
        </is>
      </c>
    </row>
    <row r="2">
      <c r="A2" s="4" t="inlineStr">
        <is>
          <t>QT-01</t>
        </is>
      </c>
      <c r="B2" s="4" t="inlineStr">
        <is>
          <t>Possui certificação ISO/IEC 27001 com escopo que inclua os serviços de SOC?</t>
        </is>
      </c>
      <c r="C2" s="4" t="inlineStr">
        <is>
          <t>Sim</t>
        </is>
      </c>
      <c r="D2" s="4" t="n">
        <v>3</v>
      </c>
      <c r="E2" s="4" t="inlineStr">
        <is>
          <t>—</t>
        </is>
      </c>
      <c r="F2" s="4" t="inlineStr">
        <is>
          <t>Atende (se o escopo do certificado incluir o SOC)</t>
        </is>
      </c>
      <c r="G2" s="4" t="inlineStr">
        <is>
          <t>Também é critério eliminatório (RFP 5.1a).</t>
        </is>
      </c>
      <c r="H2" s="4" t="inlineStr">
        <is>
          <t>HB-01</t>
        </is>
      </c>
    </row>
    <row r="3">
      <c r="A3" s="4" t="inlineStr">
        <is>
          <t>QT-02</t>
        </is>
      </c>
      <c r="B3" s="4" t="inlineStr">
        <is>
          <t>Oferece integração nativa com plataforma SOAR?</t>
        </is>
      </c>
      <c r="C3" s="4" t="inlineStr">
        <is>
          <t>Não</t>
        </is>
      </c>
      <c r="D3" s="4" t="n">
        <v>1</v>
      </c>
      <c r="E3" s="4" t="inlineStr">
        <is>
          <t>-2 pts se 'Não atende'</t>
        </is>
      </c>
      <c r="F3" s="4" t="inlineStr">
        <is>
          <t>Atende (incluir SOAR na oferta)</t>
        </is>
      </c>
      <c r="G3" s="4" t="inlineStr">
        <is>
          <t>Penalidade oculta de 2 pts. O custo de incluir tende a ser menor que a perda de nota.</t>
        </is>
      </c>
      <c r="H3" s="4" t="inlineStr">
        <is>
          <t>TS-09 / AV-05</t>
        </is>
      </c>
    </row>
    <row r="4">
      <c r="A4" s="4" t="inlineStr">
        <is>
          <t>QT-03</t>
        </is>
      </c>
      <c r="B4" s="4" t="inlineStr">
        <is>
          <t>Retém os logs online por no mínimo 12 meses?</t>
        </is>
      </c>
      <c r="C4" s="4" t="inlineStr">
        <is>
          <t>Sim</t>
        </is>
      </c>
      <c r="D4" s="4" t="n">
        <v>2</v>
      </c>
      <c r="E4" s="4" t="inlineStr">
        <is>
          <t>—</t>
        </is>
      </c>
      <c r="F4" s="4" t="inlineStr">
        <is>
          <t>Atende, com comentário: 12 meses online + 5 anos em arquivo (Anexo I 1.6)</t>
        </is>
      </c>
      <c r="G4" s="4" t="inlineStr">
        <is>
          <t>Usar o comentário para fixar a interpretação do conflito 1.3 x 1.6.</t>
        </is>
      </c>
      <c r="H4" s="4" t="inlineStr">
        <is>
          <t>TS-03</t>
        </is>
      </c>
    </row>
    <row r="5">
      <c r="A5" s="4" t="inlineStr">
        <is>
          <t>QT-04</t>
        </is>
      </c>
      <c r="B5" s="4" t="inlineStr">
        <is>
          <t>Atende aos requisitos da Resolução CMN nº 4.893/2021?</t>
        </is>
      </c>
      <c r="C5" s="4" t="inlineStr">
        <is>
          <t>Sim</t>
        </is>
      </c>
      <c r="D5" s="4" t="n">
        <v>3</v>
      </c>
      <c r="E5" s="4" t="inlineStr">
        <is>
          <t>—</t>
        </is>
      </c>
      <c r="F5" s="4" t="inlineStr">
        <is>
          <t>Atende, com comentário: SIEM e dados 100% em região no Brasil</t>
        </is>
      </c>
      <c r="G5" s="4" t="inlineStr">
        <is>
          <t>Tem de ser coerente com o Anexo III. Resolve o conflito com o Anexo I 1.2.</t>
        </is>
      </c>
      <c r="H5" s="4" t="inlineStr">
        <is>
          <t>RG-01 / TS-02</t>
        </is>
      </c>
    </row>
    <row r="6">
      <c r="A6" s="4" t="inlineStr">
        <is>
          <t>QT-05</t>
        </is>
      </c>
      <c r="B6" s="4" t="inlineStr">
        <is>
          <t>Oferece serviço de threat intelligence?</t>
        </is>
      </c>
      <c r="C6" s="4" t="inlineStr">
        <is>
          <t>Não</t>
        </is>
      </c>
      <c r="D6" s="4" t="n">
        <v>2</v>
      </c>
      <c r="E6" s="4" t="inlineStr">
        <is>
          <t>-2 pts se 'Não atende'</t>
        </is>
      </c>
      <c r="F6" s="4" t="inlineStr">
        <is>
          <t>Atende (incluir threat intel na oferta)</t>
        </is>
      </c>
      <c r="G6" s="4" t="inlineStr">
        <is>
          <t>Penalidade oculta de 2 pts. Garantir que os dados não saiam do Brasil.</t>
        </is>
      </c>
      <c r="H6" s="4" t="inlineStr">
        <is>
          <t>TS-10 / AV-05</t>
        </is>
      </c>
    </row>
    <row r="7">
      <c r="A7" s="4" t="inlineStr">
        <is>
          <t>QT-06</t>
        </is>
      </c>
      <c r="B7" s="4" t="inlineStr">
        <is>
          <t>Possui equipe com certificações reconhecidas pelo mercado?</t>
        </is>
      </c>
      <c r="C7" s="4" t="inlineStr">
        <is>
          <t>Sim</t>
        </is>
      </c>
      <c r="D7" s="4" t="n">
        <v>2</v>
      </c>
      <c r="E7" s="4" t="inlineStr">
        <is>
          <t>—</t>
        </is>
      </c>
      <c r="F7" s="4" t="inlineStr">
        <is>
          <t>Atende, com comentário listando as certificações (CISSP, GCIH etc.)</t>
        </is>
      </c>
      <c r="G7" s="4" t="inlineStr">
        <is>
          <t>Ligado ao RFP 5.2 e ao Anexo I 5.1.</t>
        </is>
      </c>
      <c r="H7" s="4" t="inlineStr">
        <is>
          <t>HB-04 / EQ-01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2026-10-18T17:37:07Z</dcterms:created>
  <dcterms:modified xmlns:dcterms="http://purl.org/dc/terms/" xmlns:xsi="http://www.w3.org/2001/XMLSchema-instance" xsi:type="dcterms:W3CDTF">2026-10-18T17:37:07Z</dcterms:modified>
</cp:coreProperties>
</file>